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rookhavenlab-my.sharepoint.com/personal/capotosto_bnl_gov/Documents/Capstone/documentation/"/>
    </mc:Choice>
  </mc:AlternateContent>
  <xr:revisionPtr revIDLastSave="0" documentId="8_{282D8F1A-08B9-4D46-9BB6-7FFC282735BD}" xr6:coauthVersionLast="47" xr6:coauthVersionMax="47" xr10:uidLastSave="{00000000-0000-0000-0000-000000000000}"/>
  <bookViews>
    <workbookView xWindow="0" yWindow="0" windowWidth="13935" windowHeight="16200" xr2:uid="{00000000-000D-0000-FFFF-FFFF00000000}"/>
  </bookViews>
  <sheets>
    <sheet name="Sensor BOM &amp; Cost" sheetId="1" r:id="rId1"/>
    <sheet name="Shield BOM &amp; Cost" sheetId="2" r:id="rId2"/>
    <sheet name="Cos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1" l="1"/>
  <c r="Z35" i="1"/>
  <c r="N36" i="1"/>
  <c r="N35" i="1"/>
  <c r="D5" i="3"/>
  <c r="D6" i="3"/>
  <c r="D4" i="3"/>
  <c r="Z31" i="2"/>
  <c r="T31" i="2"/>
  <c r="N31" i="2"/>
  <c r="T35" i="1"/>
  <c r="Z17" i="2"/>
  <c r="U17" i="2"/>
  <c r="T17" i="2"/>
  <c r="O17" i="2"/>
  <c r="N17" i="2"/>
  <c r="I17" i="2"/>
  <c r="Z8" i="2"/>
  <c r="T8" i="2"/>
  <c r="N8" i="2"/>
  <c r="Z29" i="2"/>
  <c r="U29" i="2"/>
  <c r="T29" i="2"/>
  <c r="O29" i="2"/>
  <c r="N29" i="2"/>
  <c r="I29" i="2"/>
  <c r="Z28" i="2"/>
  <c r="U28" i="2"/>
  <c r="T28" i="2"/>
  <c r="O28" i="2"/>
  <c r="N28" i="2"/>
  <c r="I28" i="2"/>
  <c r="Z27" i="2"/>
  <c r="U27" i="2"/>
  <c r="T27" i="2"/>
  <c r="O27" i="2"/>
  <c r="N27" i="2"/>
  <c r="I27" i="2"/>
  <c r="Z26" i="2"/>
  <c r="U26" i="2"/>
  <c r="T26" i="2"/>
  <c r="O26" i="2"/>
  <c r="N26" i="2"/>
  <c r="I26" i="2"/>
  <c r="Z25" i="2"/>
  <c r="U25" i="2"/>
  <c r="T25" i="2"/>
  <c r="O25" i="2"/>
  <c r="N25" i="2"/>
  <c r="I25" i="2"/>
  <c r="Z24" i="2"/>
  <c r="U24" i="2"/>
  <c r="T24" i="2"/>
  <c r="O24" i="2"/>
  <c r="N24" i="2"/>
  <c r="I24" i="2"/>
  <c r="Z23" i="2"/>
  <c r="U23" i="2"/>
  <c r="T23" i="2"/>
  <c r="O23" i="2"/>
  <c r="N23" i="2"/>
  <c r="I23" i="2"/>
  <c r="Z22" i="2"/>
  <c r="U22" i="2"/>
  <c r="T22" i="2"/>
  <c r="O22" i="2"/>
  <c r="N22" i="2"/>
  <c r="I22" i="2"/>
  <c r="Z21" i="2"/>
  <c r="U21" i="2"/>
  <c r="T21" i="2"/>
  <c r="O21" i="2"/>
  <c r="N21" i="2"/>
  <c r="I21" i="2"/>
  <c r="Z20" i="2"/>
  <c r="U20" i="2"/>
  <c r="T20" i="2"/>
  <c r="O20" i="2"/>
  <c r="N20" i="2"/>
  <c r="I20" i="2"/>
  <c r="Z19" i="2"/>
  <c r="U19" i="2"/>
  <c r="T19" i="2"/>
  <c r="O19" i="2"/>
  <c r="N19" i="2"/>
  <c r="I19" i="2"/>
  <c r="Z18" i="2"/>
  <c r="U18" i="2"/>
  <c r="T18" i="2"/>
  <c r="O18" i="2"/>
  <c r="N18" i="2"/>
  <c r="I18" i="2"/>
  <c r="Z16" i="2"/>
  <c r="U16" i="2"/>
  <c r="T16" i="2"/>
  <c r="O16" i="2"/>
  <c r="N16" i="2"/>
  <c r="I16" i="2"/>
  <c r="Z15" i="2"/>
  <c r="U15" i="2"/>
  <c r="T15" i="2"/>
  <c r="O15" i="2"/>
  <c r="N15" i="2"/>
  <c r="I15" i="2"/>
  <c r="Z14" i="2"/>
  <c r="U14" i="2"/>
  <c r="T14" i="2"/>
  <c r="O14" i="2"/>
  <c r="N14" i="2"/>
  <c r="I14" i="2"/>
  <c r="Z13" i="2"/>
  <c r="U13" i="2"/>
  <c r="T13" i="2"/>
  <c r="O13" i="2"/>
  <c r="N13" i="2"/>
  <c r="I13" i="2"/>
  <c r="Z12" i="2"/>
  <c r="U12" i="2"/>
  <c r="T12" i="2"/>
  <c r="O12" i="2"/>
  <c r="N12" i="2"/>
  <c r="I12" i="2"/>
  <c r="Z11" i="2"/>
  <c r="U11" i="2"/>
  <c r="T11" i="2"/>
  <c r="O11" i="2"/>
  <c r="N11" i="2"/>
  <c r="I11" i="2"/>
  <c r="Z10" i="2"/>
  <c r="U10" i="2"/>
  <c r="T10" i="2"/>
  <c r="O10" i="2"/>
  <c r="N10" i="2"/>
  <c r="I10" i="2"/>
  <c r="Z9" i="2"/>
  <c r="U9" i="2"/>
  <c r="T9" i="2"/>
  <c r="O9" i="2"/>
  <c r="N9" i="2"/>
  <c r="I9" i="2"/>
  <c r="U8" i="2"/>
  <c r="O8" i="2"/>
  <c r="I8" i="2"/>
  <c r="Z7" i="2"/>
  <c r="U7" i="2"/>
  <c r="T7" i="2"/>
  <c r="O7" i="2"/>
  <c r="N7" i="2"/>
  <c r="I7" i="2"/>
  <c r="Z6" i="2"/>
  <c r="U6" i="2"/>
  <c r="T6" i="2"/>
  <c r="O6" i="2"/>
  <c r="N6" i="2"/>
  <c r="I6" i="2"/>
  <c r="Z33" i="1"/>
  <c r="U33" i="1"/>
  <c r="T33" i="1"/>
  <c r="O33" i="1"/>
  <c r="N33" i="1"/>
  <c r="I33" i="1"/>
  <c r="Z32" i="1"/>
  <c r="U32" i="1"/>
  <c r="T32" i="1"/>
  <c r="O32" i="1"/>
  <c r="N32" i="1"/>
  <c r="I32" i="1"/>
  <c r="Z31" i="1"/>
  <c r="U31" i="1"/>
  <c r="T31" i="1"/>
  <c r="O31" i="1"/>
  <c r="N31" i="1"/>
  <c r="I31" i="1"/>
  <c r="Z30" i="1"/>
  <c r="U30" i="1"/>
  <c r="T30" i="1"/>
  <c r="O30" i="1"/>
  <c r="N30" i="1"/>
  <c r="I30" i="1"/>
  <c r="Z29" i="1"/>
  <c r="U29" i="1"/>
  <c r="T29" i="1"/>
  <c r="O29" i="1"/>
  <c r="N29" i="1"/>
  <c r="I29" i="1"/>
  <c r="Z28" i="1"/>
  <c r="U28" i="1"/>
  <c r="T28" i="1"/>
  <c r="O28" i="1"/>
  <c r="N28" i="1"/>
  <c r="I28" i="1"/>
  <c r="Z27" i="1"/>
  <c r="U27" i="1"/>
  <c r="T27" i="1"/>
  <c r="O27" i="1"/>
  <c r="N27" i="1"/>
  <c r="I27" i="1"/>
  <c r="Z26" i="1"/>
  <c r="U26" i="1"/>
  <c r="T26" i="1"/>
  <c r="O26" i="1"/>
  <c r="N26" i="1"/>
  <c r="I26" i="1"/>
  <c r="Z25" i="1"/>
  <c r="U25" i="1"/>
  <c r="T25" i="1"/>
  <c r="O25" i="1"/>
  <c r="N25" i="1"/>
  <c r="I25" i="1"/>
  <c r="Z24" i="1"/>
  <c r="U24" i="1"/>
  <c r="T24" i="1"/>
  <c r="O24" i="1"/>
  <c r="N24" i="1"/>
  <c r="I24" i="1"/>
  <c r="Z23" i="1"/>
  <c r="U23" i="1"/>
  <c r="T23" i="1"/>
  <c r="O23" i="1"/>
  <c r="N23" i="1"/>
  <c r="I23" i="1"/>
  <c r="Z22" i="1"/>
  <c r="U22" i="1"/>
  <c r="T22" i="1"/>
  <c r="O22" i="1"/>
  <c r="N22" i="1"/>
  <c r="I22" i="1"/>
  <c r="Z21" i="1"/>
  <c r="U21" i="1"/>
  <c r="T21" i="1"/>
  <c r="O21" i="1"/>
  <c r="N21" i="1"/>
  <c r="I21" i="1"/>
  <c r="Z20" i="1"/>
  <c r="U20" i="1"/>
  <c r="T20" i="1"/>
  <c r="O20" i="1"/>
  <c r="N20" i="1"/>
  <c r="I20" i="1"/>
  <c r="Z19" i="1"/>
  <c r="U19" i="1"/>
  <c r="T19" i="1"/>
  <c r="O19" i="1"/>
  <c r="N19" i="1"/>
  <c r="I19" i="1"/>
  <c r="Z18" i="1"/>
  <c r="U18" i="1"/>
  <c r="T18" i="1"/>
  <c r="O18" i="1"/>
  <c r="N18" i="1"/>
  <c r="I18" i="1"/>
  <c r="Z17" i="1"/>
  <c r="U17" i="1"/>
  <c r="T17" i="1"/>
  <c r="O17" i="1"/>
  <c r="N17" i="1"/>
  <c r="I17" i="1"/>
  <c r="Z16" i="1"/>
  <c r="U16" i="1"/>
  <c r="T16" i="1"/>
  <c r="O16" i="1"/>
  <c r="N16" i="1"/>
  <c r="I16" i="1"/>
  <c r="Z15" i="1"/>
  <c r="U15" i="1"/>
  <c r="T15" i="1"/>
  <c r="O15" i="1"/>
  <c r="N15" i="1"/>
  <c r="I15" i="1"/>
  <c r="Z14" i="1"/>
  <c r="U14" i="1"/>
  <c r="T14" i="1"/>
  <c r="O14" i="1"/>
  <c r="N14" i="1"/>
  <c r="I14" i="1"/>
  <c r="Z13" i="1"/>
  <c r="U13" i="1"/>
  <c r="T13" i="1"/>
  <c r="O13" i="1"/>
  <c r="N13" i="1"/>
  <c r="I13" i="1"/>
  <c r="Z12" i="1"/>
  <c r="U12" i="1"/>
  <c r="T12" i="1"/>
  <c r="O12" i="1"/>
  <c r="N12" i="1"/>
  <c r="I12" i="1"/>
  <c r="Z11" i="1"/>
  <c r="U11" i="1"/>
  <c r="T11" i="1"/>
  <c r="O11" i="1"/>
  <c r="N11" i="1"/>
  <c r="I11" i="1"/>
  <c r="Z10" i="1"/>
  <c r="U10" i="1"/>
  <c r="T10" i="1"/>
  <c r="O10" i="1"/>
  <c r="N10" i="1"/>
  <c r="I10" i="1"/>
  <c r="Z9" i="1"/>
  <c r="U9" i="1"/>
  <c r="T9" i="1"/>
  <c r="O9" i="1"/>
  <c r="N9" i="1"/>
  <c r="I9" i="1"/>
  <c r="Z8" i="1"/>
  <c r="U8" i="1"/>
  <c r="T8" i="1"/>
  <c r="O8" i="1"/>
  <c r="N8" i="1"/>
  <c r="I8" i="1"/>
  <c r="Z7" i="1"/>
  <c r="U7" i="1"/>
  <c r="T7" i="1"/>
  <c r="O7" i="1"/>
  <c r="N7" i="1"/>
  <c r="I7" i="1"/>
  <c r="Z6" i="1"/>
  <c r="U6" i="1"/>
  <c r="T6" i="1"/>
  <c r="O6" i="1"/>
  <c r="N6" i="1"/>
  <c r="I6" i="1"/>
  <c r="B6" i="3" l="1"/>
  <c r="C6" i="3" s="1"/>
  <c r="B5" i="3"/>
  <c r="B4" i="3"/>
  <c r="C4" i="3" s="1"/>
  <c r="E4" i="3"/>
  <c r="E6" i="3"/>
  <c r="Z32" i="2"/>
  <c r="C5" i="3"/>
  <c r="E5" i="3"/>
  <c r="T32" i="2"/>
  <c r="N32" i="2"/>
  <c r="T36" i="1"/>
  <c r="F6" i="3" l="1"/>
  <c r="G6" i="3" s="1"/>
  <c r="F4" i="3"/>
  <c r="G4" i="3" s="1"/>
  <c r="F5" i="3"/>
  <c r="G5" i="3" s="1"/>
</calcChain>
</file>

<file path=xl/sharedStrings.xml><?xml version="1.0" encoding="utf-8"?>
<sst xmlns="http://schemas.openxmlformats.org/spreadsheetml/2006/main" count="604" uniqueCount="260">
  <si>
    <t>Sensor Board BOM and Production Cost Analysis</t>
  </si>
  <si>
    <t>Non-module spare allowance</t>
  </si>
  <si>
    <t>Final Component Specification</t>
  </si>
  <si>
    <t>1-System Purchase</t>
  </si>
  <si>
    <t>100-System Purchase</t>
  </si>
  <si>
    <t>1000-System Purchase</t>
  </si>
  <si>
    <t>Reference</t>
  </si>
  <si>
    <t>Qty/System</t>
  </si>
  <si>
    <t>Specification</t>
  </si>
  <si>
    <t>Manufacturer</t>
  </si>
  <si>
    <t>MPN</t>
  </si>
  <si>
    <t>Pricing Supplier</t>
  </si>
  <si>
    <t>Price Source</t>
  </si>
  <si>
    <t>Module?</t>
  </si>
  <si>
    <t>Required Qty</t>
  </si>
  <si>
    <t>Order Qty</t>
  </si>
  <si>
    <t>Unit Price</t>
  </si>
  <si>
    <t>Reel Fee</t>
  </si>
  <si>
    <t>Packaging</t>
  </si>
  <si>
    <t>Extended Cost</t>
  </si>
  <si>
    <t>C1,C3,C21,C23,C26,C28,C31,C33,C36,C38,C41,C43</t>
  </si>
  <si>
    <t>1 µF ±10%, 50 V, X5R, 0603</t>
  </si>
  <si>
    <t>Samsung Electro-Mechanics</t>
  </si>
  <si>
    <t>CL10A105KB8NNNC</t>
  </si>
  <si>
    <t>DigiKey</t>
  </si>
  <si>
    <t>https://www.digikey.com/en/products/detail/samsung-electro-mechanics/CL10A105KB8NNNC/3887518</t>
  </si>
  <si>
    <t>No</t>
  </si>
  <si>
    <t>Cut tape/bulk/tray</t>
  </si>
  <si>
    <t>Digi-Reel</t>
  </si>
  <si>
    <t>Full reel (4000/reel)</t>
  </si>
  <si>
    <t>C2,C4,C5,C11,C12,C14,C15,C17,C22,C24,C25,C27,C29,C30,C32,C34,C35,C37,C39,C40,C42,C44,C45</t>
  </si>
  <si>
    <t>100 nF ±10%, 50 V, X5R, 0402</t>
  </si>
  <si>
    <t>Murata Electronics</t>
  </si>
  <si>
    <t>GRM155R61H104KE14D</t>
  </si>
  <si>
    <t>Mouser</t>
  </si>
  <si>
    <t>https://www.mouser.com/en/ProductDetail/Murata-Electronics/GRM155R61H104KE14D</t>
  </si>
  <si>
    <t>MouseReel</t>
  </si>
  <si>
    <t>Full reel (10000/reel)</t>
  </si>
  <si>
    <t>C6</t>
  </si>
  <si>
    <t>2.2 nF ±10%, 50 V, X7R, 0402</t>
  </si>
  <si>
    <t>GRM155R71H222KA01D</t>
  </si>
  <si>
    <t>https://www.digikey.com/en/products/detail/murata-electronics/GRM155R71H222KA01D/587234</t>
  </si>
  <si>
    <t>C7,C8</t>
  </si>
  <si>
    <t>10 µF ±10%, 25 V, X7S, 0805</t>
  </si>
  <si>
    <t>TDK</t>
  </si>
  <si>
    <t>C2012X7S1E106K125AC</t>
  </si>
  <si>
    <t>https://www.digikey.com/en/products/detail/tdk/C2012X7S1E106K125AC/9991385</t>
  </si>
  <si>
    <t>C9</t>
  </si>
  <si>
    <t>470 nF ±10%, 25 V, X5R, 0402</t>
  </si>
  <si>
    <t>C1005X5R1E474K050BB</t>
  </si>
  <si>
    <t>https://www.digikey.com/en/products/detail/tdk/C1005X5R1E474K050BB/2792144</t>
  </si>
  <si>
    <t>C10,C13,C16,C19,C20</t>
  </si>
  <si>
    <t>22 µF ±20%, 10 V, X7S, 0805</t>
  </si>
  <si>
    <t>Cal-Chip Electronics</t>
  </si>
  <si>
    <t>GMC21X7S226M10NT</t>
  </si>
  <si>
    <t>(existing uploaded DigiKey BOM quote)</t>
  </si>
  <si>
    <t>FB1</t>
  </si>
  <si>
    <t>Ferrite bead, 8.5 Ω @ 100 MHz, 8 A, 4 mΩ max DCR, 0603</t>
  </si>
  <si>
    <t>BLE18PS080SN1D</t>
  </si>
  <si>
    <t>https://www.mouser.com/en/ProductDetail/Murata-Electronics/BLE18PS080SN1D</t>
  </si>
  <si>
    <t>J101,J102,J104,J105,J108</t>
  </si>
  <si>
    <t>4-position Mini-Fit Jr. vertical header, 4.2 mm</t>
  </si>
  <si>
    <t>Molex</t>
  </si>
  <si>
    <t>0039299049</t>
  </si>
  <si>
    <t>https://www.digikey.com/en/products/detail/molex/0039299049/3160172</t>
  </si>
  <si>
    <t>Bulk/tray/exact qty</t>
  </si>
  <si>
    <t>J103</t>
  </si>
  <si>
    <t>8-position Mini-Fit Jr. vertical header, 4.2 mm</t>
  </si>
  <si>
    <t>0039289088</t>
  </si>
  <si>
    <t>https://www.digikey.com/en/products/detail/molex/0039289088/1633809</t>
  </si>
  <si>
    <t>J106,J107</t>
  </si>
  <si>
    <t>10-position Mini-Fit Jr. vertical header, 4.2 mm</t>
  </si>
  <si>
    <t>0039289108</t>
  </si>
  <si>
    <t>https://www.digikey.com/en/products/detail/molex/0039289108/1633810</t>
  </si>
  <si>
    <t>L1</t>
  </si>
  <si>
    <t>2.2 µH ±20%, 4.7 A rated, 6.2 A Isat</t>
  </si>
  <si>
    <t>Würth Elektronik</t>
  </si>
  <si>
    <t>74438356022</t>
  </si>
  <si>
    <t>https://www.digikey.com/en/products/detail/w%C3%BCrth-elektronik/74438356022/5725347</t>
  </si>
  <si>
    <t>Q1,Q2,Q3,Q4,Q5,Q6</t>
  </si>
  <si>
    <t>N-MOSFET, 30 V, 154 mA, 300 mW, SC-75</t>
  </si>
  <si>
    <t>onsemi</t>
  </si>
  <si>
    <t>NTA7002NT1G</t>
  </si>
  <si>
    <t>https://www.mouser.com/en/ProductDetail/onsemi/NTA7002NT1G</t>
  </si>
  <si>
    <t>Full reel (3000/reel)</t>
  </si>
  <si>
    <t>R6,R12,R13,R33,R34,R35,R36,R37,R38,R39,R40,R41,R42,R43,R44,R45,R46,R47</t>
  </si>
  <si>
    <t>2.00 kΩ ±1%, 0.10 W, 0402</t>
  </si>
  <si>
    <t>Panasonic Industry</t>
  </si>
  <si>
    <t>ERJ-2RKF2001X</t>
  </si>
  <si>
    <t>https://www.digikey.com/en/products/detail/panasonic-electronic-components/ERJ-2RKF2001X/192194</t>
  </si>
  <si>
    <t>R7,R18</t>
  </si>
  <si>
    <t>39 mΩ ±1%, 0.75 W, Kelvin 2010</t>
  </si>
  <si>
    <t>Ohmite</t>
  </si>
  <si>
    <t>LVK20R039FER</t>
  </si>
  <si>
    <t>https://www.masterelectronics.com/en/productdetail/ohmite/lvk20r039fer-12028965.html</t>
  </si>
  <si>
    <t>DigiKey cut tape</t>
  </si>
  <si>
    <t>R8,R11,R19,R20</t>
  </si>
  <si>
    <t>50 mΩ ±1%, 0.75 W, Kelvin 2010</t>
  </si>
  <si>
    <t>LVK20R050FER</t>
  </si>
  <si>
    <t>Newark</t>
  </si>
  <si>
    <t>https://www.newark.com/c/passive-components/resistors-fixed-value/prl/results?brand=ohmite&amp;resistance=0.05ohm</t>
  </si>
  <si>
    <t>Cut tape / bulk</t>
  </si>
  <si>
    <t>Newark free Re-Reel</t>
  </si>
  <si>
    <t>Full reel (1000/reel)</t>
  </si>
  <si>
    <t>R9,R10</t>
  </si>
  <si>
    <t>0 Ω jumper, 1206</t>
  </si>
  <si>
    <t>Keystone Electronics</t>
  </si>
  <si>
    <t>5108</t>
  </si>
  <si>
    <t>https://www.digikey.com/en/products/detail/keystone-electronics/5108/5118869</t>
  </si>
  <si>
    <t>R21</t>
  </si>
  <si>
    <t>0 Ω jumper, 1/16 W, 0402</t>
  </si>
  <si>
    <t>Vishay Dale</t>
  </si>
  <si>
    <t>CRCW04020000Z0ED</t>
  </si>
  <si>
    <t>https://www.digikey.com/en/products/detail/vishay-dale/CRCW04020000Z0ED/1182611</t>
  </si>
  <si>
    <t>R23,R24</t>
  </si>
  <si>
    <t>4.70 kΩ ±1%, 1/16 W, 0402</t>
  </si>
  <si>
    <t>CRCW04024K70FKED</t>
  </si>
  <si>
    <t>https://www.digikey.com/en/products/detail/vishay-dale/CRCW04024K70FKED/1178083</t>
  </si>
  <si>
    <t>R25</t>
  </si>
  <si>
    <t>14.7 kΩ ±0.1%, 1/16 W, 0402</t>
  </si>
  <si>
    <t>ERA-2APB1472X</t>
  </si>
  <si>
    <t>https://www.digikey.com/en/products/detail/panasonic-industry/ERA-2APB1472X/5695509</t>
  </si>
  <si>
    <t>R26</t>
  </si>
  <si>
    <t>4.70 kΩ ±0.1%, 1/16 W, 0402</t>
  </si>
  <si>
    <t>ERA-2ARB472X</t>
  </si>
  <si>
    <t>https://www.digikey.com/en/products/detail/panasonic-industry/ERA-2ARB472X/5140922</t>
  </si>
  <si>
    <t>TP1,TP3</t>
  </si>
  <si>
    <t>Red through-hole test point</t>
  </si>
  <si>
    <t>5000</t>
  </si>
  <si>
    <t>https://www.digikey.com/en/products/detail/keystone-electronics/5000/255326</t>
  </si>
  <si>
    <t>TP2</t>
  </si>
  <si>
    <t>Black through-hole test point</t>
  </si>
  <si>
    <t>5001</t>
  </si>
  <si>
    <t>https://www.digikey.com/en/products/detail/keystone-electronics/5001/255327</t>
  </si>
  <si>
    <t>TP4,TP5,TP6,TP7,TP8,TP9</t>
  </si>
  <si>
    <t>SMT miniature test point</t>
  </si>
  <si>
    <t>5015</t>
  </si>
  <si>
    <t>https://www.digikey.com/en/products/detail/keystone-electronics/5015/278886</t>
  </si>
  <si>
    <t>U1,U8,U11,U14,U17,U20</t>
  </si>
  <si>
    <t>Power/current monitor, 4–80 V input, 12-QFN</t>
  </si>
  <si>
    <t>Analog Devices</t>
  </si>
  <si>
    <t>LTC2945IUD#TRPBF</t>
  </si>
  <si>
    <t>https://www.digikey.com/en/products/detail/analog-devices-inc/LTC2945IUD-TRPBF/3726461</t>
  </si>
  <si>
    <t>U2,U3,U9,U10,U12,U13,U15,U16,U18,U19,U21,U22</t>
  </si>
  <si>
    <t>Dual digital optoisolator, 3.75 kVrms, 10 MBd, 8-SO</t>
  </si>
  <si>
    <t>Broadcom</t>
  </si>
  <si>
    <t>ACPL-064L-500E</t>
  </si>
  <si>
    <t>https://www.digikey.com/en/products/detail/broadcom-limited/ACPL-064L-500E/2347199</t>
  </si>
  <si>
    <t>Full reel (1500/reel)</t>
  </si>
  <si>
    <t>U4</t>
  </si>
  <si>
    <t>2 A adjustable synchronous buck, 3–17 V input</t>
  </si>
  <si>
    <t>Texas Instruments</t>
  </si>
  <si>
    <t>TPS62912RPUR</t>
  </si>
  <si>
    <t>https://www.digikey.com/en/products/detail/texas-instruments/TPS62912RPUR/14004461</t>
  </si>
  <si>
    <t>U5,U6</t>
  </si>
  <si>
    <t>Dual-channel I²C level translator/buffer, 8-VSSOP</t>
  </si>
  <si>
    <t>TCA9803DGKR</t>
  </si>
  <si>
    <t>https://www.digikey.com/en/products/detail/texas-instruments/TCA9803DGKR/8133178</t>
  </si>
  <si>
    <t>U7</t>
  </si>
  <si>
    <t>I²C bus buffer/re-driver, 4.5–12 V, 8-SOIC</t>
  </si>
  <si>
    <t>P82B715DR</t>
  </si>
  <si>
    <t>https://www.digikey.com/en/products/detail/texas-instruments/P82B715DR/1899806</t>
  </si>
  <si>
    <t>Arduino Shield Board BOM and Production Cost Analysis</t>
  </si>
  <si>
    <t>A201</t>
  </si>
  <si>
    <t>Arduino GIGA R1 WiFi module</t>
  </si>
  <si>
    <t>Arduino</t>
  </si>
  <si>
    <t>ABX00063</t>
  </si>
  <si>
    <t>https://www.digikey.com/en/products/detail/arduino/ABX00063/18107704</t>
  </si>
  <si>
    <t>Yes</t>
  </si>
  <si>
    <t>C17,C201,C202,C203,C211,C215,C216,C217,C220,C221,C223,C224,C225,C227</t>
  </si>
  <si>
    <t>C218</t>
  </si>
  <si>
    <t>C219</t>
  </si>
  <si>
    <t>1 nF ±10%, 2 kV, X7R, 1206</t>
  </si>
  <si>
    <t>KYOCERA AVX</t>
  </si>
  <si>
    <t>1206GC102KAT1A</t>
  </si>
  <si>
    <t>https://www.digikey.com/en/products/detail/kyocera-avx/1206GC102KAT1A/808086</t>
  </si>
  <si>
    <t>C222,C226</t>
  </si>
  <si>
    <t>18 pF ±5%, 50 V, C0G/NP0, 0402</t>
  </si>
  <si>
    <t>GRM1555C1H180JA01D</t>
  </si>
  <si>
    <t>https://www.digikey.com/en/products/detail/murata-electronics/GRM1555C1H180JA01D/2854383</t>
  </si>
  <si>
    <t>FB201,FB202,FB203</t>
  </si>
  <si>
    <t>Ferrite bead, 120 Ω @ 100 MHz, 3 A, 0603</t>
  </si>
  <si>
    <t>Pulse Electronics</t>
  </si>
  <si>
    <t>BBUP00160805121Y00</t>
  </si>
  <si>
    <t>https://www.digikey.com/en/products/detail/pulse-electronics/BBUP00160805121Y00/16818942</t>
  </si>
  <si>
    <t>J201</t>
  </si>
  <si>
    <t>RJ45 MagJack, 10/100Base-T, through-hole</t>
  </si>
  <si>
    <t>Bel Fuse</t>
  </si>
  <si>
    <t>SI-46014-F</t>
  </si>
  <si>
    <t>https://www.digikey.com/en/products/detail/bel-fuse-inc/SI-46014-F/2257082</t>
  </si>
  <si>
    <t>J309</t>
  </si>
  <si>
    <t>N101</t>
  </si>
  <si>
    <t>Arduino GIGA Display Shield module</t>
  </si>
  <si>
    <t>ASX00039</t>
  </si>
  <si>
    <t>https://www.digikey.com/en/products/detail/arduino/ASX00039/21443321</t>
  </si>
  <si>
    <t>N201</t>
  </si>
  <si>
    <t>Arduino stacking header set</t>
  </si>
  <si>
    <t>Adafruit Industries</t>
  </si>
  <si>
    <t>85</t>
  </si>
  <si>
    <t>https://www.digikey.com/en/products/detail/adafruit-industries-llc/85/5154649</t>
  </si>
  <si>
    <t>R23,R24,R205,R206,R207</t>
  </si>
  <si>
    <t>R101,R102,R103,R104,R105</t>
  </si>
  <si>
    <t>R208</t>
  </si>
  <si>
    <t>12.3 kΩ ±0.1%, 1/16 W, 0402</t>
  </si>
  <si>
    <t>KOA Speer</t>
  </si>
  <si>
    <t>RN73R1ETTP1232B25</t>
  </si>
  <si>
    <t>https://www.digikey.com/en/products/detail/koa-speer-electronics-inc/RN73R1ETTP1232B25/10000299</t>
  </si>
  <si>
    <t>R209,R210,R215,R216</t>
  </si>
  <si>
    <t>49.9 Ω ±1%, 1/16 W, 0402</t>
  </si>
  <si>
    <t>CRCW040249R9FKED</t>
  </si>
  <si>
    <t>https://www.digikey.com/en/products/detail/vishay-dale/CRCW040249R9FKED/1177858</t>
  </si>
  <si>
    <t>R211,R212,R213,R214</t>
  </si>
  <si>
    <t>3.30 Ω ±1%, 1/16 W, 0402</t>
  </si>
  <si>
    <t>CRCW04023R30FKED</t>
  </si>
  <si>
    <t>https://www.digikey.com/en/products/detail/vishay-dale/CRCW04023R30FKED/1961480</t>
  </si>
  <si>
    <t>R217</t>
  </si>
  <si>
    <t>1.00 MΩ ±1%, 1/16 W, 0402</t>
  </si>
  <si>
    <t>CRCW04021M00FKED</t>
  </si>
  <si>
    <t>https://www.digikey.com/en/products/detail/vishay-dale/CRCW04021M00FKED/1183465</t>
  </si>
  <si>
    <t>R218,R219</t>
  </si>
  <si>
    <t>470 Ω ±1%, 0.10 W, 0402</t>
  </si>
  <si>
    <t>ERJ-2RKF4700X</t>
  </si>
  <si>
    <t>https://www.digikey.com/en/products/detail/panasonic-industry/ERJ-2RKF4700X/1746691</t>
  </si>
  <si>
    <t>R220</t>
  </si>
  <si>
    <t>TP101</t>
  </si>
  <si>
    <t>TP102</t>
  </si>
  <si>
    <t>TP201,TP202,TP203</t>
  </si>
  <si>
    <t>U202</t>
  </si>
  <si>
    <t>Hardwired TCP/IP Ethernet controller, QFN</t>
  </si>
  <si>
    <t>WIZnet</t>
  </si>
  <si>
    <t>W6100Q</t>
  </si>
  <si>
    <t>https://www.mouser.com/en/ProductDetail/WIZnet/W6100Q</t>
  </si>
  <si>
    <t>Y201</t>
  </si>
  <si>
    <t>25 MHz crystal, ±10 ppm, 18 pF load, 3.2×2.5 mm</t>
  </si>
  <si>
    <t>Diodes Incorporated</t>
  </si>
  <si>
    <t>FL2500169</t>
  </si>
  <si>
    <t>https://www.digikey.com/en/products/detail/diodes-incorporated/FL2500169/9766957</t>
  </si>
  <si>
    <t>Week 3 Component Cost Summary</t>
  </si>
  <si>
    <t>Production Qty</t>
  </si>
  <si>
    <t>Sensor Purchase</t>
  </si>
  <si>
    <t>Component Specification</t>
  </si>
  <si>
    <t>GMC10X5R335K25NT</t>
  </si>
  <si>
    <t>https://www.digikey.com/en/products/detail/cal-chip-electronics-inc/GMC10X5R335K25NT/24883192</t>
  </si>
  <si>
    <t>Cal-Chip Electronics, Inc.</t>
  </si>
  <si>
    <t>3.3 µF ±10% 25V Ceramic Capacitor X5R 0603 (1608 Metric)</t>
  </si>
  <si>
    <t>10 kΩ ±1%, 0.10 W, 50 V, 0402</t>
  </si>
  <si>
    <t>ERJ-2RKF1002X</t>
  </si>
  <si>
    <t>https://www.digikey.com/en/products/detail/panasonic-industry/ERJ-2RKF1002X/192073 ; https://www.newark.com/</t>
  </si>
  <si>
    <t>Digi-Reel exact qty</t>
  </si>
  <si>
    <t>100-board fabrication lot</t>
  </si>
  <si>
    <t>1000-board fabrication lot</t>
  </si>
  <si>
    <t>5-board fabrication lot (MOQ)</t>
  </si>
  <si>
    <t>PCB Fabrication</t>
  </si>
  <si>
    <t>COMPONENTS SUBTOTAL</t>
  </si>
  <si>
    <t>COMPONENTS COST PER SYSTEM</t>
  </si>
  <si>
    <t>Combined Purchase</t>
  </si>
  <si>
    <t>Combined Purchas per System</t>
  </si>
  <si>
    <t>Sensor per System</t>
  </si>
  <si>
    <t>Shield Purchase</t>
  </si>
  <si>
    <t>Shield per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</si>
</sst>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000"/>
  </numFmts>
  <fonts count="7" x14ac:knownFonts="1">
    <font>
      <sz val="11"/>
      <name val="Carlito"/>
    </font>
    <font>
      <b/>
      <sz val="16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  <font>
      <i/>
      <sz val="11"/>
      <name val="Carlito"/>
      <family val="2"/>
    </font>
    <font>
      <sz val="11"/>
      <name val="Carlito"/>
      <family val="2"/>
    </font>
    <font>
      <u/>
      <sz val="11"/>
      <color theme="10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9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165" fontId="0" fillId="4" borderId="1" xfId="0" applyNumberFormat="1" applyFill="1" applyBorder="1" applyAlignment="1">
      <alignment wrapText="1"/>
    </xf>
    <xf numFmtId="164" fontId="0" fillId="4" borderId="1" xfId="0" applyNumberForma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164" fontId="0" fillId="4" borderId="2" xfId="0" applyNumberFormat="1" applyFill="1" applyBorder="1" applyAlignment="1">
      <alignment wrapText="1"/>
    </xf>
    <xf numFmtId="0" fontId="0" fillId="4" borderId="3" xfId="0" applyFill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1" xfId="0" applyFill="1" applyBorder="1" applyAlignment="1">
      <alignment wrapText="1"/>
    </xf>
    <xf numFmtId="165" fontId="0" fillId="5" borderId="1" xfId="0" applyNumberFormat="1" applyFill="1" applyBorder="1" applyAlignment="1">
      <alignment wrapText="1"/>
    </xf>
    <xf numFmtId="164" fontId="0" fillId="5" borderId="1" xfId="0" applyNumberFormat="1" applyFill="1" applyBorder="1" applyAlignment="1">
      <alignment wrapText="1"/>
    </xf>
    <xf numFmtId="164" fontId="0" fillId="5" borderId="2" xfId="0" applyNumberForma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cal-chip-electronics-inc/GMC10X5R335K25NT/24883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topLeftCell="A20" zoomScaleNormal="100" workbookViewId="0">
      <selection activeCell="A39" sqref="A39:Z39"/>
    </sheetView>
  </sheetViews>
  <sheetFormatPr defaultRowHeight="15" x14ac:dyDescent="0.25"/>
  <cols>
    <col min="1" max="1" width="28" customWidth="1"/>
    <col min="2" max="2" width="10" customWidth="1"/>
    <col min="3" max="3" width="34" customWidth="1"/>
    <col min="4" max="4" width="21" customWidth="1"/>
    <col min="5" max="5" width="25" customWidth="1"/>
    <col min="6" max="6" width="16" customWidth="1"/>
    <col min="7" max="7" width="45" customWidth="1"/>
    <col min="8" max="8" width="9" customWidth="1"/>
    <col min="9" max="10" width="11" customWidth="1"/>
    <col min="11" max="11" width="12" customWidth="1"/>
    <col min="12" max="12" width="10" customWidth="1"/>
    <col min="13" max="13" width="24" customWidth="1"/>
    <col min="14" max="14" width="14" customWidth="1"/>
    <col min="15" max="16" width="11" customWidth="1"/>
    <col min="17" max="17" width="12" customWidth="1"/>
    <col min="18" max="18" width="10" customWidth="1"/>
    <col min="19" max="19" width="24" customWidth="1"/>
    <col min="20" max="20" width="14" customWidth="1"/>
    <col min="21" max="22" width="11" customWidth="1"/>
    <col min="23" max="23" width="12" customWidth="1"/>
    <col min="24" max="24" width="10" customWidth="1"/>
    <col min="25" max="25" width="24" customWidth="1"/>
    <col min="26" max="26" width="14" customWidth="1"/>
  </cols>
  <sheetData>
    <row r="1" spans="1:26" ht="2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D2" t="s">
        <v>1</v>
      </c>
      <c r="E2" s="1">
        <v>0.1</v>
      </c>
    </row>
    <row r="4" spans="1:26" x14ac:dyDescent="0.25">
      <c r="A4" s="39" t="s">
        <v>2</v>
      </c>
      <c r="B4" s="39"/>
      <c r="C4" s="39"/>
      <c r="D4" s="39"/>
      <c r="E4" s="39"/>
      <c r="F4" s="39"/>
      <c r="G4" s="39"/>
      <c r="H4" s="39"/>
      <c r="I4" s="39" t="s">
        <v>3</v>
      </c>
      <c r="J4" s="39"/>
      <c r="K4" s="39"/>
      <c r="L4" s="39"/>
      <c r="M4" s="39"/>
      <c r="N4" s="39"/>
      <c r="O4" s="39" t="s">
        <v>4</v>
      </c>
      <c r="P4" s="39"/>
      <c r="Q4" s="39"/>
      <c r="R4" s="39"/>
      <c r="S4" s="39"/>
      <c r="T4" s="39"/>
      <c r="U4" s="39" t="s">
        <v>5</v>
      </c>
      <c r="V4" s="39"/>
      <c r="W4" s="39"/>
      <c r="X4" s="39"/>
      <c r="Y4" s="39"/>
      <c r="Z4" s="39"/>
    </row>
    <row r="5" spans="1:26" ht="30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15" t="s">
        <v>13</v>
      </c>
      <c r="I5" s="16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15" t="s">
        <v>19</v>
      </c>
      <c r="O5" s="16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15" t="s">
        <v>19</v>
      </c>
      <c r="U5" s="16" t="s">
        <v>14</v>
      </c>
      <c r="V5" s="5" t="s">
        <v>15</v>
      </c>
      <c r="W5" s="5" t="s">
        <v>16</v>
      </c>
      <c r="X5" s="5" t="s">
        <v>17</v>
      </c>
      <c r="Y5" s="5" t="s">
        <v>18</v>
      </c>
      <c r="Z5" s="5" t="s">
        <v>19</v>
      </c>
    </row>
    <row r="6" spans="1:26" ht="30" x14ac:dyDescent="0.25">
      <c r="A6" s="6" t="s">
        <v>20</v>
      </c>
      <c r="B6" s="6">
        <v>12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28" t="s">
        <v>26</v>
      </c>
      <c r="I6" s="18">
        <f t="shared" ref="I6:I33" si="0">ROUNDUP($B6*1*(1+IF($H6="Yes",0,$E$2)),0)</f>
        <v>14</v>
      </c>
      <c r="J6" s="6">
        <v>14</v>
      </c>
      <c r="K6" s="7">
        <v>0.08</v>
      </c>
      <c r="L6" s="8">
        <v>0</v>
      </c>
      <c r="M6" s="6" t="s">
        <v>27</v>
      </c>
      <c r="N6" s="17">
        <f t="shared" ref="N6:N33" si="1">J6*K6+L6</f>
        <v>1.1200000000000001</v>
      </c>
      <c r="O6" s="22">
        <f t="shared" ref="O6:O33" si="2">ROUNDUP($B6*100*(1+IF($H6="Yes",0,$E$2)),0)</f>
        <v>1320</v>
      </c>
      <c r="P6" s="23">
        <v>1320</v>
      </c>
      <c r="Q6" s="24">
        <v>3.6159999999999998E-2</v>
      </c>
      <c r="R6" s="25">
        <v>7</v>
      </c>
      <c r="S6" s="23" t="s">
        <v>28</v>
      </c>
      <c r="T6" s="26">
        <f t="shared" ref="T6:T33" si="3">P6*Q6+R6</f>
        <v>54.731199999999994</v>
      </c>
      <c r="U6" s="18">
        <f t="shared" ref="U6:U33" si="4">ROUNDUP($B6*1000*(1+IF($H6="Yes",0,$E$2)),0)</f>
        <v>13200</v>
      </c>
      <c r="V6" s="6">
        <v>16000</v>
      </c>
      <c r="W6" s="7">
        <v>2.342E-2</v>
      </c>
      <c r="X6" s="8">
        <v>0</v>
      </c>
      <c r="Y6" s="6" t="s">
        <v>29</v>
      </c>
      <c r="Z6" s="8">
        <f t="shared" ref="Z6:Z33" si="5">V6*W6+X6</f>
        <v>374.71999999999997</v>
      </c>
    </row>
    <row r="7" spans="1:26" ht="45" x14ac:dyDescent="0.25">
      <c r="A7" s="6" t="s">
        <v>30</v>
      </c>
      <c r="B7" s="6">
        <v>23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28" t="s">
        <v>26</v>
      </c>
      <c r="I7" s="18">
        <f t="shared" si="0"/>
        <v>26</v>
      </c>
      <c r="J7" s="6">
        <v>26</v>
      </c>
      <c r="K7" s="7">
        <v>1.7000000000000001E-2</v>
      </c>
      <c r="L7" s="8">
        <v>0</v>
      </c>
      <c r="M7" s="6" t="s">
        <v>27</v>
      </c>
      <c r="N7" s="17">
        <f t="shared" si="1"/>
        <v>0.44200000000000006</v>
      </c>
      <c r="O7" s="22">
        <f t="shared" si="2"/>
        <v>2530</v>
      </c>
      <c r="P7" s="23">
        <v>2530</v>
      </c>
      <c r="Q7" s="24">
        <v>1.0999999999999999E-2</v>
      </c>
      <c r="R7" s="25">
        <v>7</v>
      </c>
      <c r="S7" s="23" t="s">
        <v>36</v>
      </c>
      <c r="T7" s="26">
        <f t="shared" si="3"/>
        <v>34.83</v>
      </c>
      <c r="U7" s="18">
        <f t="shared" si="4"/>
        <v>25300</v>
      </c>
      <c r="V7" s="6">
        <v>30000</v>
      </c>
      <c r="W7" s="7">
        <v>6.0000000000000001E-3</v>
      </c>
      <c r="X7" s="8">
        <v>0</v>
      </c>
      <c r="Y7" s="6" t="s">
        <v>37</v>
      </c>
      <c r="Z7" s="8">
        <f t="shared" si="5"/>
        <v>180</v>
      </c>
    </row>
    <row r="8" spans="1:26" ht="30" x14ac:dyDescent="0.25">
      <c r="A8" s="6" t="s">
        <v>38</v>
      </c>
      <c r="B8" s="6">
        <v>1</v>
      </c>
      <c r="C8" s="6" t="s">
        <v>39</v>
      </c>
      <c r="D8" s="6" t="s">
        <v>32</v>
      </c>
      <c r="E8" s="6" t="s">
        <v>40</v>
      </c>
      <c r="F8" s="6" t="s">
        <v>24</v>
      </c>
      <c r="G8" s="6" t="s">
        <v>41</v>
      </c>
      <c r="H8" s="28" t="s">
        <v>26</v>
      </c>
      <c r="I8" s="18">
        <f t="shared" si="0"/>
        <v>2</v>
      </c>
      <c r="J8" s="6">
        <v>2</v>
      </c>
      <c r="K8" s="7">
        <v>0.11</v>
      </c>
      <c r="L8" s="8">
        <v>0</v>
      </c>
      <c r="M8" s="6" t="s">
        <v>27</v>
      </c>
      <c r="N8" s="17">
        <f t="shared" si="1"/>
        <v>0.22</v>
      </c>
      <c r="O8" s="22">
        <f t="shared" si="2"/>
        <v>110</v>
      </c>
      <c r="P8" s="23">
        <v>110</v>
      </c>
      <c r="Q8" s="24">
        <v>1.09E-2</v>
      </c>
      <c r="R8" s="25">
        <v>7</v>
      </c>
      <c r="S8" s="23" t="s">
        <v>28</v>
      </c>
      <c r="T8" s="26">
        <f t="shared" si="3"/>
        <v>8.1989999999999998</v>
      </c>
      <c r="U8" s="18">
        <f t="shared" si="4"/>
        <v>1100</v>
      </c>
      <c r="V8" s="6">
        <v>1100</v>
      </c>
      <c r="W8" s="7">
        <v>7.4999999999999997E-3</v>
      </c>
      <c r="X8" s="8">
        <v>7</v>
      </c>
      <c r="Y8" s="6" t="s">
        <v>28</v>
      </c>
      <c r="Z8" s="8">
        <f t="shared" si="5"/>
        <v>15.25</v>
      </c>
    </row>
    <row r="9" spans="1:26" ht="30" x14ac:dyDescent="0.25">
      <c r="A9" s="6" t="s">
        <v>42</v>
      </c>
      <c r="B9" s="6">
        <v>2</v>
      </c>
      <c r="C9" s="6" t="s">
        <v>43</v>
      </c>
      <c r="D9" s="6" t="s">
        <v>44</v>
      </c>
      <c r="E9" s="6" t="s">
        <v>45</v>
      </c>
      <c r="F9" s="6" t="s">
        <v>24</v>
      </c>
      <c r="G9" s="6" t="s">
        <v>46</v>
      </c>
      <c r="H9" s="28" t="s">
        <v>26</v>
      </c>
      <c r="I9" s="18">
        <f t="shared" si="0"/>
        <v>3</v>
      </c>
      <c r="J9" s="6">
        <v>3</v>
      </c>
      <c r="K9" s="7">
        <v>0.59</v>
      </c>
      <c r="L9" s="8">
        <v>0</v>
      </c>
      <c r="M9" s="6" t="s">
        <v>27</v>
      </c>
      <c r="N9" s="17">
        <f t="shared" si="1"/>
        <v>1.77</v>
      </c>
      <c r="O9" s="22">
        <f t="shared" si="2"/>
        <v>220</v>
      </c>
      <c r="P9" s="23">
        <v>220</v>
      </c>
      <c r="Q9" s="24">
        <v>0.24640000000000001</v>
      </c>
      <c r="R9" s="25">
        <v>7</v>
      </c>
      <c r="S9" s="23" t="s">
        <v>28</v>
      </c>
      <c r="T9" s="26">
        <f t="shared" si="3"/>
        <v>61.207999999999998</v>
      </c>
      <c r="U9" s="18">
        <f t="shared" si="4"/>
        <v>2200</v>
      </c>
      <c r="V9" s="6">
        <v>2200</v>
      </c>
      <c r="W9" s="7">
        <v>0.19961999999999999</v>
      </c>
      <c r="X9" s="8">
        <v>7</v>
      </c>
      <c r="Y9" s="6" t="s">
        <v>28</v>
      </c>
      <c r="Z9" s="8">
        <f t="shared" si="5"/>
        <v>446.16399999999999</v>
      </c>
    </row>
    <row r="10" spans="1:26" ht="30" x14ac:dyDescent="0.25">
      <c r="A10" s="6" t="s">
        <v>47</v>
      </c>
      <c r="B10" s="6">
        <v>1</v>
      </c>
      <c r="C10" s="6" t="s">
        <v>48</v>
      </c>
      <c r="D10" s="6" t="s">
        <v>44</v>
      </c>
      <c r="E10" s="6" t="s">
        <v>49</v>
      </c>
      <c r="F10" s="6" t="s">
        <v>24</v>
      </c>
      <c r="G10" s="6" t="s">
        <v>50</v>
      </c>
      <c r="H10" s="28" t="s">
        <v>26</v>
      </c>
      <c r="I10" s="18">
        <f t="shared" si="0"/>
        <v>2</v>
      </c>
      <c r="J10" s="6">
        <v>2</v>
      </c>
      <c r="K10" s="7">
        <v>0.1</v>
      </c>
      <c r="L10" s="8">
        <v>0</v>
      </c>
      <c r="M10" s="6" t="s">
        <v>27</v>
      </c>
      <c r="N10" s="17">
        <f t="shared" si="1"/>
        <v>0.2</v>
      </c>
      <c r="O10" s="22">
        <f t="shared" si="2"/>
        <v>110</v>
      </c>
      <c r="P10" s="23">
        <v>110</v>
      </c>
      <c r="Q10" s="24">
        <v>3.09E-2</v>
      </c>
      <c r="R10" s="25">
        <v>7</v>
      </c>
      <c r="S10" s="23" t="s">
        <v>28</v>
      </c>
      <c r="T10" s="26">
        <f t="shared" si="3"/>
        <v>10.399000000000001</v>
      </c>
      <c r="U10" s="18">
        <f t="shared" si="4"/>
        <v>1100</v>
      </c>
      <c r="V10" s="6">
        <v>1100</v>
      </c>
      <c r="W10" s="7">
        <v>1.9949999999999999E-2</v>
      </c>
      <c r="X10" s="8">
        <v>7</v>
      </c>
      <c r="Y10" s="6" t="s">
        <v>28</v>
      </c>
      <c r="Z10" s="8">
        <f t="shared" si="5"/>
        <v>28.945</v>
      </c>
    </row>
    <row r="11" spans="1:26" x14ac:dyDescent="0.25">
      <c r="A11" s="6" t="s">
        <v>51</v>
      </c>
      <c r="B11" s="6">
        <v>5</v>
      </c>
      <c r="C11" s="6" t="s">
        <v>52</v>
      </c>
      <c r="D11" s="6" t="s">
        <v>53</v>
      </c>
      <c r="E11" s="6" t="s">
        <v>54</v>
      </c>
      <c r="F11" s="6" t="s">
        <v>24</v>
      </c>
      <c r="G11" s="6" t="s">
        <v>55</v>
      </c>
      <c r="H11" s="28" t="s">
        <v>26</v>
      </c>
      <c r="I11" s="18">
        <f t="shared" si="0"/>
        <v>6</v>
      </c>
      <c r="J11" s="6">
        <v>6</v>
      </c>
      <c r="K11" s="7">
        <v>0.753</v>
      </c>
      <c r="L11" s="8">
        <v>0</v>
      </c>
      <c r="M11" s="6" t="s">
        <v>27</v>
      </c>
      <c r="N11" s="17">
        <f t="shared" si="1"/>
        <v>4.5179999999999998</v>
      </c>
      <c r="O11" s="22">
        <f t="shared" si="2"/>
        <v>550</v>
      </c>
      <c r="P11" s="23">
        <v>550</v>
      </c>
      <c r="Q11" s="24">
        <v>0.753</v>
      </c>
      <c r="R11" s="25">
        <v>7</v>
      </c>
      <c r="S11" s="23" t="s">
        <v>28</v>
      </c>
      <c r="T11" s="26">
        <f t="shared" si="3"/>
        <v>421.15</v>
      </c>
      <c r="U11" s="18">
        <f t="shared" si="4"/>
        <v>5500</v>
      </c>
      <c r="V11" s="6">
        <v>5500</v>
      </c>
      <c r="W11" s="7">
        <v>0.753</v>
      </c>
      <c r="X11" s="8">
        <v>7</v>
      </c>
      <c r="Y11" s="6" t="s">
        <v>28</v>
      </c>
      <c r="Z11" s="8">
        <f t="shared" si="5"/>
        <v>4148.5</v>
      </c>
    </row>
    <row r="12" spans="1:26" ht="30" x14ac:dyDescent="0.25">
      <c r="A12" s="6" t="s">
        <v>56</v>
      </c>
      <c r="B12" s="6">
        <v>1</v>
      </c>
      <c r="C12" s="6" t="s">
        <v>57</v>
      </c>
      <c r="D12" s="6" t="s">
        <v>32</v>
      </c>
      <c r="E12" s="6" t="s">
        <v>58</v>
      </c>
      <c r="F12" s="6" t="s">
        <v>34</v>
      </c>
      <c r="G12" s="6" t="s">
        <v>59</v>
      </c>
      <c r="H12" s="28" t="s">
        <v>26</v>
      </c>
      <c r="I12" s="18">
        <f t="shared" si="0"/>
        <v>2</v>
      </c>
      <c r="J12" s="6">
        <v>2</v>
      </c>
      <c r="K12" s="7">
        <v>0.31</v>
      </c>
      <c r="L12" s="8">
        <v>0</v>
      </c>
      <c r="M12" s="6" t="s">
        <v>27</v>
      </c>
      <c r="N12" s="17">
        <f t="shared" si="1"/>
        <v>0.62</v>
      </c>
      <c r="O12" s="22">
        <f t="shared" si="2"/>
        <v>110</v>
      </c>
      <c r="P12" s="23">
        <v>110</v>
      </c>
      <c r="Q12" s="24">
        <v>0.15</v>
      </c>
      <c r="R12" s="25">
        <v>7</v>
      </c>
      <c r="S12" s="23" t="s">
        <v>36</v>
      </c>
      <c r="T12" s="26">
        <f t="shared" si="3"/>
        <v>23.5</v>
      </c>
      <c r="U12" s="18">
        <f t="shared" si="4"/>
        <v>1100</v>
      </c>
      <c r="V12" s="6">
        <v>1100</v>
      </c>
      <c r="W12" s="7">
        <v>7.4999999999999997E-2</v>
      </c>
      <c r="X12" s="8">
        <v>7</v>
      </c>
      <c r="Y12" s="6" t="s">
        <v>36</v>
      </c>
      <c r="Z12" s="8">
        <f t="shared" si="5"/>
        <v>89.5</v>
      </c>
    </row>
    <row r="13" spans="1:26" ht="30" x14ac:dyDescent="0.25">
      <c r="A13" s="6" t="s">
        <v>60</v>
      </c>
      <c r="B13" s="6">
        <v>5</v>
      </c>
      <c r="C13" s="6" t="s">
        <v>61</v>
      </c>
      <c r="D13" s="6" t="s">
        <v>62</v>
      </c>
      <c r="E13" s="6" t="s">
        <v>63</v>
      </c>
      <c r="F13" s="6" t="s">
        <v>24</v>
      </c>
      <c r="G13" s="6" t="s">
        <v>64</v>
      </c>
      <c r="H13" s="28" t="s">
        <v>26</v>
      </c>
      <c r="I13" s="18">
        <f t="shared" si="0"/>
        <v>6</v>
      </c>
      <c r="J13" s="6">
        <v>6</v>
      </c>
      <c r="K13" s="7">
        <v>2.63</v>
      </c>
      <c r="L13" s="8">
        <v>0</v>
      </c>
      <c r="M13" s="6" t="s">
        <v>27</v>
      </c>
      <c r="N13" s="17">
        <f t="shared" si="1"/>
        <v>15.78</v>
      </c>
      <c r="O13" s="22">
        <f t="shared" si="2"/>
        <v>550</v>
      </c>
      <c r="P13" s="23">
        <v>550</v>
      </c>
      <c r="Q13" s="24">
        <v>1.6934800000000001</v>
      </c>
      <c r="R13" s="25">
        <v>0</v>
      </c>
      <c r="S13" s="23" t="s">
        <v>65</v>
      </c>
      <c r="T13" s="26">
        <f t="shared" si="3"/>
        <v>931.4140000000001</v>
      </c>
      <c r="U13" s="18">
        <f t="shared" si="4"/>
        <v>5500</v>
      </c>
      <c r="V13" s="6">
        <v>5500</v>
      </c>
      <c r="W13" s="7">
        <v>1.4438500000000001</v>
      </c>
      <c r="X13" s="8">
        <v>0</v>
      </c>
      <c r="Y13" s="6" t="s">
        <v>65</v>
      </c>
      <c r="Z13" s="8">
        <f t="shared" si="5"/>
        <v>7941.1750000000002</v>
      </c>
    </row>
    <row r="14" spans="1:26" ht="30" x14ac:dyDescent="0.25">
      <c r="A14" s="6" t="s">
        <v>66</v>
      </c>
      <c r="B14" s="6">
        <v>1</v>
      </c>
      <c r="C14" s="6" t="s">
        <v>67</v>
      </c>
      <c r="D14" s="6" t="s">
        <v>62</v>
      </c>
      <c r="E14" s="6" t="s">
        <v>68</v>
      </c>
      <c r="F14" s="6" t="s">
        <v>24</v>
      </c>
      <c r="G14" s="6" t="s">
        <v>69</v>
      </c>
      <c r="H14" s="28" t="s">
        <v>26</v>
      </c>
      <c r="I14" s="18">
        <f t="shared" si="0"/>
        <v>2</v>
      </c>
      <c r="J14" s="6">
        <v>2</v>
      </c>
      <c r="K14" s="7">
        <v>4.58</v>
      </c>
      <c r="L14" s="8">
        <v>0</v>
      </c>
      <c r="M14" s="6" t="s">
        <v>27</v>
      </c>
      <c r="N14" s="17">
        <f t="shared" si="1"/>
        <v>9.16</v>
      </c>
      <c r="O14" s="22">
        <f t="shared" si="2"/>
        <v>110</v>
      </c>
      <c r="P14" s="23">
        <v>110</v>
      </c>
      <c r="Q14" s="24">
        <v>3.3090999999999999</v>
      </c>
      <c r="R14" s="25">
        <v>0</v>
      </c>
      <c r="S14" s="23" t="s">
        <v>65</v>
      </c>
      <c r="T14" s="26">
        <f t="shared" si="3"/>
        <v>364.00099999999998</v>
      </c>
      <c r="U14" s="18">
        <f t="shared" si="4"/>
        <v>1100</v>
      </c>
      <c r="V14" s="6">
        <v>1100</v>
      </c>
      <c r="W14" s="7">
        <v>2.9539200000000001</v>
      </c>
      <c r="X14" s="8">
        <v>0</v>
      </c>
      <c r="Y14" s="6" t="s">
        <v>65</v>
      </c>
      <c r="Z14" s="8">
        <f t="shared" si="5"/>
        <v>3249.3119999999999</v>
      </c>
    </row>
    <row r="15" spans="1:26" ht="30" x14ac:dyDescent="0.25">
      <c r="A15" s="6" t="s">
        <v>70</v>
      </c>
      <c r="B15" s="6">
        <v>2</v>
      </c>
      <c r="C15" s="6" t="s">
        <v>71</v>
      </c>
      <c r="D15" s="6" t="s">
        <v>62</v>
      </c>
      <c r="E15" s="6" t="s">
        <v>72</v>
      </c>
      <c r="F15" s="6" t="s">
        <v>24</v>
      </c>
      <c r="G15" s="6" t="s">
        <v>73</v>
      </c>
      <c r="H15" s="28" t="s">
        <v>26</v>
      </c>
      <c r="I15" s="18">
        <f t="shared" si="0"/>
        <v>3</v>
      </c>
      <c r="J15" s="6">
        <v>3</v>
      </c>
      <c r="K15" s="7">
        <v>4.9800000000000004</v>
      </c>
      <c r="L15" s="8">
        <v>0</v>
      </c>
      <c r="M15" s="6" t="s">
        <v>27</v>
      </c>
      <c r="N15" s="17">
        <f t="shared" si="1"/>
        <v>14.940000000000001</v>
      </c>
      <c r="O15" s="22">
        <f t="shared" si="2"/>
        <v>220</v>
      </c>
      <c r="P15" s="23">
        <v>220</v>
      </c>
      <c r="Q15" s="24">
        <v>3.5943000000000001</v>
      </c>
      <c r="R15" s="25">
        <v>0</v>
      </c>
      <c r="S15" s="23" t="s">
        <v>65</v>
      </c>
      <c r="T15" s="26">
        <f t="shared" si="3"/>
        <v>790.74599999999998</v>
      </c>
      <c r="U15" s="18">
        <f t="shared" si="4"/>
        <v>2200</v>
      </c>
      <c r="V15" s="6">
        <v>2200</v>
      </c>
      <c r="W15" s="7">
        <v>3.0554700000000001</v>
      </c>
      <c r="X15" s="8">
        <v>0</v>
      </c>
      <c r="Y15" s="6" t="s">
        <v>65</v>
      </c>
      <c r="Z15" s="8">
        <f t="shared" si="5"/>
        <v>6722.0340000000006</v>
      </c>
    </row>
    <row r="16" spans="1:26" ht="30" x14ac:dyDescent="0.25">
      <c r="A16" s="6" t="s">
        <v>74</v>
      </c>
      <c r="B16" s="6">
        <v>1</v>
      </c>
      <c r="C16" s="6" t="s">
        <v>75</v>
      </c>
      <c r="D16" s="6" t="s">
        <v>76</v>
      </c>
      <c r="E16" s="6" t="s">
        <v>77</v>
      </c>
      <c r="F16" s="6" t="s">
        <v>24</v>
      </c>
      <c r="G16" s="6" t="s">
        <v>78</v>
      </c>
      <c r="H16" s="28" t="s">
        <v>26</v>
      </c>
      <c r="I16" s="18">
        <f t="shared" si="0"/>
        <v>2</v>
      </c>
      <c r="J16" s="6">
        <v>2</v>
      </c>
      <c r="K16" s="7">
        <v>1.94</v>
      </c>
      <c r="L16" s="8">
        <v>0</v>
      </c>
      <c r="M16" s="6" t="s">
        <v>27</v>
      </c>
      <c r="N16" s="17">
        <f t="shared" si="1"/>
        <v>3.88</v>
      </c>
      <c r="O16" s="22">
        <f t="shared" si="2"/>
        <v>110</v>
      </c>
      <c r="P16" s="23">
        <v>110</v>
      </c>
      <c r="Q16" s="24">
        <v>1.6719999999999999</v>
      </c>
      <c r="R16" s="25">
        <v>7</v>
      </c>
      <c r="S16" s="23" t="s">
        <v>28</v>
      </c>
      <c r="T16" s="26">
        <f t="shared" si="3"/>
        <v>190.92</v>
      </c>
      <c r="U16" s="18">
        <f t="shared" si="4"/>
        <v>1100</v>
      </c>
      <c r="V16" s="6">
        <v>1100</v>
      </c>
      <c r="W16" s="7">
        <v>1.5409999999999999</v>
      </c>
      <c r="X16" s="8">
        <v>7</v>
      </c>
      <c r="Y16" s="6" t="s">
        <v>28</v>
      </c>
      <c r="Z16" s="8">
        <f t="shared" si="5"/>
        <v>1702.1</v>
      </c>
    </row>
    <row r="17" spans="1:26" ht="30" x14ac:dyDescent="0.25">
      <c r="A17" s="6" t="s">
        <v>79</v>
      </c>
      <c r="B17" s="6">
        <v>6</v>
      </c>
      <c r="C17" s="6" t="s">
        <v>80</v>
      </c>
      <c r="D17" s="6" t="s">
        <v>81</v>
      </c>
      <c r="E17" s="6" t="s">
        <v>82</v>
      </c>
      <c r="F17" s="6" t="s">
        <v>34</v>
      </c>
      <c r="G17" s="6" t="s">
        <v>83</v>
      </c>
      <c r="H17" s="28" t="s">
        <v>26</v>
      </c>
      <c r="I17" s="18">
        <f t="shared" si="0"/>
        <v>7</v>
      </c>
      <c r="J17" s="6">
        <v>7</v>
      </c>
      <c r="K17" s="7">
        <v>0.28999999999999998</v>
      </c>
      <c r="L17" s="8">
        <v>0</v>
      </c>
      <c r="M17" s="6" t="s">
        <v>27</v>
      </c>
      <c r="N17" s="17">
        <f t="shared" si="1"/>
        <v>2.0299999999999998</v>
      </c>
      <c r="O17" s="22">
        <f t="shared" si="2"/>
        <v>660</v>
      </c>
      <c r="P17" s="23">
        <v>660</v>
      </c>
      <c r="Q17" s="24">
        <v>8.1000000000000003E-2</v>
      </c>
      <c r="R17" s="25">
        <v>7</v>
      </c>
      <c r="S17" s="23" t="s">
        <v>36</v>
      </c>
      <c r="T17" s="26">
        <f t="shared" si="3"/>
        <v>60.46</v>
      </c>
      <c r="U17" s="18">
        <f t="shared" si="4"/>
        <v>6600</v>
      </c>
      <c r="V17" s="6">
        <v>9000</v>
      </c>
      <c r="W17" s="7">
        <v>4.8000000000000001E-2</v>
      </c>
      <c r="X17" s="8">
        <v>0</v>
      </c>
      <c r="Y17" s="6" t="s">
        <v>84</v>
      </c>
      <c r="Z17" s="8">
        <f t="shared" si="5"/>
        <v>432</v>
      </c>
    </row>
    <row r="18" spans="1:26" ht="45" x14ac:dyDescent="0.25">
      <c r="A18" s="6" t="s">
        <v>85</v>
      </c>
      <c r="B18" s="6">
        <v>18</v>
      </c>
      <c r="C18" s="6" t="s">
        <v>86</v>
      </c>
      <c r="D18" s="6" t="s">
        <v>87</v>
      </c>
      <c r="E18" s="6" t="s">
        <v>88</v>
      </c>
      <c r="F18" s="6" t="s">
        <v>24</v>
      </c>
      <c r="G18" s="6" t="s">
        <v>89</v>
      </c>
      <c r="H18" s="28" t="s">
        <v>26</v>
      </c>
      <c r="I18" s="18">
        <f t="shared" si="0"/>
        <v>20</v>
      </c>
      <c r="J18" s="6">
        <v>20</v>
      </c>
      <c r="K18" s="7">
        <v>3.1E-2</v>
      </c>
      <c r="L18" s="8">
        <v>0</v>
      </c>
      <c r="M18" s="6" t="s">
        <v>27</v>
      </c>
      <c r="N18" s="17">
        <f t="shared" si="1"/>
        <v>0.62</v>
      </c>
      <c r="O18" s="22">
        <f t="shared" si="2"/>
        <v>1980</v>
      </c>
      <c r="P18" s="23">
        <v>1980</v>
      </c>
      <c r="Q18" s="24">
        <v>8.6800000000000002E-3</v>
      </c>
      <c r="R18" s="25">
        <v>7</v>
      </c>
      <c r="S18" s="23" t="s">
        <v>28</v>
      </c>
      <c r="T18" s="26">
        <f t="shared" si="3"/>
        <v>24.186399999999999</v>
      </c>
      <c r="U18" s="18">
        <f t="shared" si="4"/>
        <v>19800</v>
      </c>
      <c r="V18" s="6">
        <v>20000</v>
      </c>
      <c r="W18" s="7">
        <v>5.1900000000000002E-3</v>
      </c>
      <c r="X18" s="8">
        <v>0</v>
      </c>
      <c r="Y18" s="6" t="s">
        <v>37</v>
      </c>
      <c r="Z18" s="8">
        <f t="shared" si="5"/>
        <v>103.8</v>
      </c>
    </row>
    <row r="19" spans="1:26" ht="30" x14ac:dyDescent="0.25">
      <c r="A19" s="6" t="s">
        <v>90</v>
      </c>
      <c r="B19" s="6">
        <v>2</v>
      </c>
      <c r="C19" s="6" t="s">
        <v>91</v>
      </c>
      <c r="D19" s="6" t="s">
        <v>92</v>
      </c>
      <c r="E19" s="6" t="s">
        <v>93</v>
      </c>
      <c r="F19" s="6" t="s">
        <v>24</v>
      </c>
      <c r="G19" s="6" t="s">
        <v>94</v>
      </c>
      <c r="H19" s="28" t="s">
        <v>26</v>
      </c>
      <c r="I19" s="18">
        <f t="shared" si="0"/>
        <v>3</v>
      </c>
      <c r="J19" s="6">
        <v>3</v>
      </c>
      <c r="K19" s="7">
        <v>1.52</v>
      </c>
      <c r="L19" s="8">
        <v>0</v>
      </c>
      <c r="M19" s="6" t="s">
        <v>95</v>
      </c>
      <c r="N19" s="17">
        <f t="shared" si="1"/>
        <v>4.5600000000000005</v>
      </c>
      <c r="O19" s="22">
        <f t="shared" si="2"/>
        <v>220</v>
      </c>
      <c r="P19" s="23">
        <v>220</v>
      </c>
      <c r="Q19" s="24">
        <v>0.77</v>
      </c>
      <c r="R19" s="25">
        <v>7</v>
      </c>
      <c r="S19" s="23" t="s">
        <v>28</v>
      </c>
      <c r="T19" s="26">
        <f t="shared" si="3"/>
        <v>176.4</v>
      </c>
      <c r="U19" s="18">
        <f t="shared" si="4"/>
        <v>2200</v>
      </c>
      <c r="V19" s="6">
        <v>2200</v>
      </c>
      <c r="W19" s="7">
        <v>0.68</v>
      </c>
      <c r="X19" s="8">
        <v>7</v>
      </c>
      <c r="Y19" s="6" t="s">
        <v>28</v>
      </c>
      <c r="Z19" s="8">
        <f t="shared" si="5"/>
        <v>1503</v>
      </c>
    </row>
    <row r="20" spans="1:26" ht="45" x14ac:dyDescent="0.25">
      <c r="A20" s="6" t="s">
        <v>96</v>
      </c>
      <c r="B20" s="6">
        <v>4</v>
      </c>
      <c r="C20" s="6" t="s">
        <v>97</v>
      </c>
      <c r="D20" s="6" t="s">
        <v>92</v>
      </c>
      <c r="E20" s="6" t="s">
        <v>98</v>
      </c>
      <c r="F20" s="6" t="s">
        <v>99</v>
      </c>
      <c r="G20" s="6" t="s">
        <v>100</v>
      </c>
      <c r="H20" s="28" t="s">
        <v>26</v>
      </c>
      <c r="I20" s="18">
        <f t="shared" si="0"/>
        <v>5</v>
      </c>
      <c r="J20" s="6">
        <v>5</v>
      </c>
      <c r="K20" s="7">
        <v>1.97</v>
      </c>
      <c r="L20" s="8">
        <v>0</v>
      </c>
      <c r="M20" s="6" t="s">
        <v>101</v>
      </c>
      <c r="N20" s="17">
        <f t="shared" si="1"/>
        <v>9.85</v>
      </c>
      <c r="O20" s="22">
        <f t="shared" si="2"/>
        <v>440</v>
      </c>
      <c r="P20" s="23">
        <v>440</v>
      </c>
      <c r="Q20" s="24">
        <v>0.85599999999999998</v>
      </c>
      <c r="R20" s="25">
        <v>0</v>
      </c>
      <c r="S20" s="23" t="s">
        <v>102</v>
      </c>
      <c r="T20" s="26">
        <f t="shared" si="3"/>
        <v>376.64</v>
      </c>
      <c r="U20" s="18">
        <f t="shared" si="4"/>
        <v>4400</v>
      </c>
      <c r="V20" s="6">
        <v>5000</v>
      </c>
      <c r="W20" s="7">
        <v>0.42799999999999999</v>
      </c>
      <c r="X20" s="8">
        <v>0</v>
      </c>
      <c r="Y20" s="6" t="s">
        <v>103</v>
      </c>
      <c r="Z20" s="8">
        <f t="shared" si="5"/>
        <v>2140</v>
      </c>
    </row>
    <row r="21" spans="1:26" ht="30" x14ac:dyDescent="0.25">
      <c r="A21" s="6" t="s">
        <v>104</v>
      </c>
      <c r="B21" s="6">
        <v>2</v>
      </c>
      <c r="C21" s="6" t="s">
        <v>105</v>
      </c>
      <c r="D21" s="6" t="s">
        <v>106</v>
      </c>
      <c r="E21" s="6" t="s">
        <v>107</v>
      </c>
      <c r="F21" s="6" t="s">
        <v>24</v>
      </c>
      <c r="G21" s="6" t="s">
        <v>108</v>
      </c>
      <c r="H21" s="28" t="s">
        <v>26</v>
      </c>
      <c r="I21" s="18">
        <f t="shared" si="0"/>
        <v>3</v>
      </c>
      <c r="J21" s="6">
        <v>3</v>
      </c>
      <c r="K21" s="7">
        <v>0.27</v>
      </c>
      <c r="L21" s="8">
        <v>0</v>
      </c>
      <c r="M21" s="6" t="s">
        <v>27</v>
      </c>
      <c r="N21" s="17">
        <f t="shared" si="1"/>
        <v>0.81</v>
      </c>
      <c r="O21" s="22">
        <f t="shared" si="2"/>
        <v>220</v>
      </c>
      <c r="P21" s="23">
        <v>220</v>
      </c>
      <c r="Q21" s="24">
        <v>0.2</v>
      </c>
      <c r="R21" s="25">
        <v>7</v>
      </c>
      <c r="S21" s="23" t="s">
        <v>28</v>
      </c>
      <c r="T21" s="26">
        <f t="shared" si="3"/>
        <v>51</v>
      </c>
      <c r="U21" s="18">
        <f t="shared" si="4"/>
        <v>2200</v>
      </c>
      <c r="V21" s="6">
        <v>2200</v>
      </c>
      <c r="W21" s="7">
        <v>0.2</v>
      </c>
      <c r="X21" s="8">
        <v>7</v>
      </c>
      <c r="Y21" s="6" t="s">
        <v>28</v>
      </c>
      <c r="Z21" s="8">
        <f t="shared" si="5"/>
        <v>447</v>
      </c>
    </row>
    <row r="22" spans="1:26" ht="30" x14ac:dyDescent="0.25">
      <c r="A22" s="6" t="s">
        <v>109</v>
      </c>
      <c r="B22" s="6">
        <v>1</v>
      </c>
      <c r="C22" s="6" t="s">
        <v>110</v>
      </c>
      <c r="D22" s="6" t="s">
        <v>111</v>
      </c>
      <c r="E22" s="6" t="s">
        <v>112</v>
      </c>
      <c r="F22" s="6" t="s">
        <v>24</v>
      </c>
      <c r="G22" s="6" t="s">
        <v>113</v>
      </c>
      <c r="H22" s="28" t="s">
        <v>26</v>
      </c>
      <c r="I22" s="18">
        <f t="shared" si="0"/>
        <v>2</v>
      </c>
      <c r="J22" s="6">
        <v>2</v>
      </c>
      <c r="K22" s="7">
        <v>0.1</v>
      </c>
      <c r="L22" s="8">
        <v>0</v>
      </c>
      <c r="M22" s="6" t="s">
        <v>27</v>
      </c>
      <c r="N22" s="17">
        <f t="shared" si="1"/>
        <v>0.2</v>
      </c>
      <c r="O22" s="22">
        <f t="shared" si="2"/>
        <v>110</v>
      </c>
      <c r="P22" s="23">
        <v>110</v>
      </c>
      <c r="Q22" s="24">
        <v>9.9000000000000008E-3</v>
      </c>
      <c r="R22" s="25">
        <v>7</v>
      </c>
      <c r="S22" s="23" t="s">
        <v>28</v>
      </c>
      <c r="T22" s="26">
        <f t="shared" si="3"/>
        <v>8.0890000000000004</v>
      </c>
      <c r="U22" s="18">
        <f t="shared" si="4"/>
        <v>1100</v>
      </c>
      <c r="V22" s="6">
        <v>1100</v>
      </c>
      <c r="W22" s="7">
        <v>6.5300000000000002E-3</v>
      </c>
      <c r="X22" s="8">
        <v>7</v>
      </c>
      <c r="Y22" s="6" t="s">
        <v>28</v>
      </c>
      <c r="Z22" s="8">
        <f t="shared" si="5"/>
        <v>14.183</v>
      </c>
    </row>
    <row r="23" spans="1:26" ht="30" x14ac:dyDescent="0.25">
      <c r="A23" s="6" t="s">
        <v>114</v>
      </c>
      <c r="B23" s="6">
        <v>2</v>
      </c>
      <c r="C23" s="6" t="s">
        <v>115</v>
      </c>
      <c r="D23" s="6" t="s">
        <v>111</v>
      </c>
      <c r="E23" s="6" t="s">
        <v>116</v>
      </c>
      <c r="F23" s="6" t="s">
        <v>24</v>
      </c>
      <c r="G23" s="6" t="s">
        <v>117</v>
      </c>
      <c r="H23" s="28" t="s">
        <v>26</v>
      </c>
      <c r="I23" s="18">
        <f t="shared" si="0"/>
        <v>3</v>
      </c>
      <c r="J23" s="6">
        <v>3</v>
      </c>
      <c r="K23" s="7">
        <v>0.1</v>
      </c>
      <c r="L23" s="8">
        <v>0</v>
      </c>
      <c r="M23" s="6" t="s">
        <v>27</v>
      </c>
      <c r="N23" s="17">
        <f t="shared" si="1"/>
        <v>0.30000000000000004</v>
      </c>
      <c r="O23" s="22">
        <f t="shared" si="2"/>
        <v>220</v>
      </c>
      <c r="P23" s="23">
        <v>220</v>
      </c>
      <c r="Q23" s="24">
        <v>1.5699999999999999E-2</v>
      </c>
      <c r="R23" s="25">
        <v>7</v>
      </c>
      <c r="S23" s="23" t="s">
        <v>28</v>
      </c>
      <c r="T23" s="26">
        <f t="shared" si="3"/>
        <v>10.454000000000001</v>
      </c>
      <c r="U23" s="18">
        <f t="shared" si="4"/>
        <v>2200</v>
      </c>
      <c r="V23" s="6">
        <v>2200</v>
      </c>
      <c r="W23" s="7">
        <v>8.8199999999999997E-3</v>
      </c>
      <c r="X23" s="8">
        <v>7</v>
      </c>
      <c r="Y23" s="6" t="s">
        <v>28</v>
      </c>
      <c r="Z23" s="8">
        <f t="shared" si="5"/>
        <v>26.404</v>
      </c>
    </row>
    <row r="24" spans="1:26" ht="30" x14ac:dyDescent="0.25">
      <c r="A24" s="6" t="s">
        <v>118</v>
      </c>
      <c r="B24" s="6">
        <v>1</v>
      </c>
      <c r="C24" s="6" t="s">
        <v>119</v>
      </c>
      <c r="D24" s="6" t="s">
        <v>87</v>
      </c>
      <c r="E24" s="6" t="s">
        <v>120</v>
      </c>
      <c r="F24" s="6" t="s">
        <v>24</v>
      </c>
      <c r="G24" s="6" t="s">
        <v>121</v>
      </c>
      <c r="H24" s="28" t="s">
        <v>26</v>
      </c>
      <c r="I24" s="18">
        <f t="shared" si="0"/>
        <v>2</v>
      </c>
      <c r="J24" s="6">
        <v>2</v>
      </c>
      <c r="K24" s="7">
        <v>0.48</v>
      </c>
      <c r="L24" s="8">
        <v>0</v>
      </c>
      <c r="M24" s="6" t="s">
        <v>27</v>
      </c>
      <c r="N24" s="17">
        <f t="shared" si="1"/>
        <v>0.96</v>
      </c>
      <c r="O24" s="22">
        <f t="shared" si="2"/>
        <v>110</v>
      </c>
      <c r="P24" s="23">
        <v>110</v>
      </c>
      <c r="Q24" s="24">
        <v>0.3301</v>
      </c>
      <c r="R24" s="25">
        <v>7</v>
      </c>
      <c r="S24" s="23" t="s">
        <v>28</v>
      </c>
      <c r="T24" s="26">
        <f t="shared" si="3"/>
        <v>43.311</v>
      </c>
      <c r="U24" s="18">
        <f t="shared" si="4"/>
        <v>1100</v>
      </c>
      <c r="V24" s="6">
        <v>1100</v>
      </c>
      <c r="W24" s="7">
        <v>0.27794999999999997</v>
      </c>
      <c r="X24" s="8">
        <v>7</v>
      </c>
      <c r="Y24" s="6" t="s">
        <v>28</v>
      </c>
      <c r="Z24" s="8">
        <f t="shared" si="5"/>
        <v>312.74499999999995</v>
      </c>
    </row>
    <row r="25" spans="1:26" ht="30" x14ac:dyDescent="0.25">
      <c r="A25" s="6" t="s">
        <v>122</v>
      </c>
      <c r="B25" s="6">
        <v>1</v>
      </c>
      <c r="C25" s="6" t="s">
        <v>123</v>
      </c>
      <c r="D25" s="6" t="s">
        <v>87</v>
      </c>
      <c r="E25" s="6" t="s">
        <v>124</v>
      </c>
      <c r="F25" s="6" t="s">
        <v>24</v>
      </c>
      <c r="G25" s="6" t="s">
        <v>125</v>
      </c>
      <c r="H25" s="28" t="s">
        <v>26</v>
      </c>
      <c r="I25" s="18">
        <f t="shared" si="0"/>
        <v>2</v>
      </c>
      <c r="J25" s="6">
        <v>2</v>
      </c>
      <c r="K25" s="7">
        <v>0.6</v>
      </c>
      <c r="L25" s="8">
        <v>0</v>
      </c>
      <c r="M25" s="6" t="s">
        <v>27</v>
      </c>
      <c r="N25" s="17">
        <f t="shared" si="1"/>
        <v>1.2</v>
      </c>
      <c r="O25" s="22">
        <f t="shared" si="2"/>
        <v>110</v>
      </c>
      <c r="P25" s="23">
        <v>110</v>
      </c>
      <c r="Q25" s="24">
        <v>0.41320000000000001</v>
      </c>
      <c r="R25" s="25">
        <v>7</v>
      </c>
      <c r="S25" s="23" t="s">
        <v>28</v>
      </c>
      <c r="T25" s="26">
        <f t="shared" si="3"/>
        <v>52.451999999999998</v>
      </c>
      <c r="U25" s="18">
        <f t="shared" si="4"/>
        <v>1100</v>
      </c>
      <c r="V25" s="6">
        <v>1100</v>
      </c>
      <c r="W25" s="7">
        <v>0.36568000000000001</v>
      </c>
      <c r="X25" s="8">
        <v>7</v>
      </c>
      <c r="Y25" s="6" t="s">
        <v>28</v>
      </c>
      <c r="Z25" s="8">
        <f t="shared" si="5"/>
        <v>409.24799999999999</v>
      </c>
    </row>
    <row r="26" spans="1:26" ht="30" x14ac:dyDescent="0.25">
      <c r="A26" s="6" t="s">
        <v>126</v>
      </c>
      <c r="B26" s="6">
        <v>2</v>
      </c>
      <c r="C26" s="6" t="s">
        <v>127</v>
      </c>
      <c r="D26" s="6" t="s">
        <v>106</v>
      </c>
      <c r="E26" s="6" t="s">
        <v>128</v>
      </c>
      <c r="F26" s="6" t="s">
        <v>24</v>
      </c>
      <c r="G26" s="6" t="s">
        <v>129</v>
      </c>
      <c r="H26" s="28" t="s">
        <v>26</v>
      </c>
      <c r="I26" s="18">
        <f t="shared" si="0"/>
        <v>3</v>
      </c>
      <c r="J26" s="6">
        <v>3</v>
      </c>
      <c r="K26" s="7">
        <v>0.27</v>
      </c>
      <c r="L26" s="8">
        <v>0</v>
      </c>
      <c r="M26" s="6" t="s">
        <v>27</v>
      </c>
      <c r="N26" s="17">
        <f t="shared" si="1"/>
        <v>0.81</v>
      </c>
      <c r="O26" s="22">
        <f t="shared" si="2"/>
        <v>220</v>
      </c>
      <c r="P26" s="23">
        <v>220</v>
      </c>
      <c r="Q26" s="24">
        <v>0.19</v>
      </c>
      <c r="R26" s="25">
        <v>0</v>
      </c>
      <c r="S26" s="23" t="s">
        <v>65</v>
      </c>
      <c r="T26" s="26">
        <f t="shared" si="3"/>
        <v>41.8</v>
      </c>
      <c r="U26" s="18">
        <f t="shared" si="4"/>
        <v>2200</v>
      </c>
      <c r="V26" s="6">
        <v>2200</v>
      </c>
      <c r="W26" s="7">
        <v>0.19</v>
      </c>
      <c r="X26" s="8">
        <v>0</v>
      </c>
      <c r="Y26" s="6" t="s">
        <v>65</v>
      </c>
      <c r="Z26" s="8">
        <f t="shared" si="5"/>
        <v>418</v>
      </c>
    </row>
    <row r="27" spans="1:26" ht="30" x14ac:dyDescent="0.25">
      <c r="A27" s="6" t="s">
        <v>130</v>
      </c>
      <c r="B27" s="6">
        <v>1</v>
      </c>
      <c r="C27" s="6" t="s">
        <v>131</v>
      </c>
      <c r="D27" s="6" t="s">
        <v>106</v>
      </c>
      <c r="E27" s="6" t="s">
        <v>132</v>
      </c>
      <c r="F27" s="6" t="s">
        <v>24</v>
      </c>
      <c r="G27" s="6" t="s">
        <v>133</v>
      </c>
      <c r="H27" s="28" t="s">
        <v>26</v>
      </c>
      <c r="I27" s="18">
        <f t="shared" si="0"/>
        <v>2</v>
      </c>
      <c r="J27" s="6">
        <v>2</v>
      </c>
      <c r="K27" s="7">
        <v>0.27</v>
      </c>
      <c r="L27" s="8">
        <v>0</v>
      </c>
      <c r="M27" s="6" t="s">
        <v>27</v>
      </c>
      <c r="N27" s="17">
        <f t="shared" si="1"/>
        <v>0.54</v>
      </c>
      <c r="O27" s="22">
        <f t="shared" si="2"/>
        <v>110</v>
      </c>
      <c r="P27" s="23">
        <v>110</v>
      </c>
      <c r="Q27" s="24">
        <v>0.19</v>
      </c>
      <c r="R27" s="25">
        <v>0</v>
      </c>
      <c r="S27" s="23" t="s">
        <v>65</v>
      </c>
      <c r="T27" s="26">
        <f t="shared" si="3"/>
        <v>20.9</v>
      </c>
      <c r="U27" s="18">
        <f t="shared" si="4"/>
        <v>1100</v>
      </c>
      <c r="V27" s="6">
        <v>1100</v>
      </c>
      <c r="W27" s="7">
        <v>0.19</v>
      </c>
      <c r="X27" s="8">
        <v>0</v>
      </c>
      <c r="Y27" s="6" t="s">
        <v>65</v>
      </c>
      <c r="Z27" s="8">
        <f t="shared" si="5"/>
        <v>209</v>
      </c>
    </row>
    <row r="28" spans="1:26" ht="30" x14ac:dyDescent="0.25">
      <c r="A28" s="6" t="s">
        <v>134</v>
      </c>
      <c r="B28" s="6">
        <v>6</v>
      </c>
      <c r="C28" s="6" t="s">
        <v>135</v>
      </c>
      <c r="D28" s="6" t="s">
        <v>106</v>
      </c>
      <c r="E28" s="6" t="s">
        <v>136</v>
      </c>
      <c r="F28" s="6" t="s">
        <v>24</v>
      </c>
      <c r="G28" s="6" t="s">
        <v>137</v>
      </c>
      <c r="H28" s="28" t="s">
        <v>26</v>
      </c>
      <c r="I28" s="18">
        <f t="shared" si="0"/>
        <v>7</v>
      </c>
      <c r="J28" s="6">
        <v>7</v>
      </c>
      <c r="K28" s="7">
        <v>0.49</v>
      </c>
      <c r="L28" s="8">
        <v>0</v>
      </c>
      <c r="M28" s="6" t="s">
        <v>27</v>
      </c>
      <c r="N28" s="17">
        <f t="shared" si="1"/>
        <v>3.4299999999999997</v>
      </c>
      <c r="O28" s="22">
        <f t="shared" si="2"/>
        <v>660</v>
      </c>
      <c r="P28" s="23">
        <v>660</v>
      </c>
      <c r="Q28" s="24">
        <v>0.23324</v>
      </c>
      <c r="R28" s="25">
        <v>7</v>
      </c>
      <c r="S28" s="23" t="s">
        <v>28</v>
      </c>
      <c r="T28" s="26">
        <f t="shared" si="3"/>
        <v>160.9384</v>
      </c>
      <c r="U28" s="18">
        <f t="shared" si="4"/>
        <v>6600</v>
      </c>
      <c r="V28" s="6">
        <v>7000</v>
      </c>
      <c r="W28" s="7">
        <v>0.19081000000000001</v>
      </c>
      <c r="X28" s="8">
        <v>0</v>
      </c>
      <c r="Y28" s="6" t="s">
        <v>103</v>
      </c>
      <c r="Z28" s="8">
        <f t="shared" si="5"/>
        <v>1335.67</v>
      </c>
    </row>
    <row r="29" spans="1:26" ht="30" x14ac:dyDescent="0.25">
      <c r="A29" s="6" t="s">
        <v>138</v>
      </c>
      <c r="B29" s="6">
        <v>6</v>
      </c>
      <c r="C29" s="6" t="s">
        <v>139</v>
      </c>
      <c r="D29" s="6" t="s">
        <v>140</v>
      </c>
      <c r="E29" s="6" t="s">
        <v>141</v>
      </c>
      <c r="F29" s="6" t="s">
        <v>24</v>
      </c>
      <c r="G29" s="6" t="s">
        <v>142</v>
      </c>
      <c r="H29" s="28" t="s">
        <v>26</v>
      </c>
      <c r="I29" s="18">
        <f t="shared" si="0"/>
        <v>7</v>
      </c>
      <c r="J29" s="6">
        <v>7</v>
      </c>
      <c r="K29" s="7">
        <v>14.08</v>
      </c>
      <c r="L29" s="8">
        <v>0</v>
      </c>
      <c r="M29" s="6" t="s">
        <v>27</v>
      </c>
      <c r="N29" s="17">
        <f t="shared" si="1"/>
        <v>98.56</v>
      </c>
      <c r="O29" s="22">
        <f t="shared" si="2"/>
        <v>660</v>
      </c>
      <c r="P29" s="23">
        <v>660</v>
      </c>
      <c r="Q29" s="24">
        <v>9.5166000000000004</v>
      </c>
      <c r="R29" s="25">
        <v>7</v>
      </c>
      <c r="S29" s="23" t="s">
        <v>28</v>
      </c>
      <c r="T29" s="26">
        <f t="shared" si="3"/>
        <v>6287.9560000000001</v>
      </c>
      <c r="U29" s="18">
        <f t="shared" si="4"/>
        <v>6600</v>
      </c>
      <c r="V29" s="6">
        <v>6600</v>
      </c>
      <c r="W29" s="7">
        <v>9.5166000000000004</v>
      </c>
      <c r="X29" s="8">
        <v>7</v>
      </c>
      <c r="Y29" s="6" t="s">
        <v>28</v>
      </c>
      <c r="Z29" s="8">
        <f t="shared" si="5"/>
        <v>62816.560000000005</v>
      </c>
    </row>
    <row r="30" spans="1:26" ht="30" x14ac:dyDescent="0.25">
      <c r="A30" s="6" t="s">
        <v>143</v>
      </c>
      <c r="B30" s="6">
        <v>12</v>
      </c>
      <c r="C30" s="6" t="s">
        <v>144</v>
      </c>
      <c r="D30" s="6" t="s">
        <v>145</v>
      </c>
      <c r="E30" s="6" t="s">
        <v>146</v>
      </c>
      <c r="F30" s="6" t="s">
        <v>24</v>
      </c>
      <c r="G30" s="6" t="s">
        <v>147</v>
      </c>
      <c r="H30" s="28" t="s">
        <v>26</v>
      </c>
      <c r="I30" s="18">
        <f t="shared" si="0"/>
        <v>14</v>
      </c>
      <c r="J30" s="6">
        <v>14</v>
      </c>
      <c r="K30" s="7">
        <v>3.7509999999999999</v>
      </c>
      <c r="L30" s="8">
        <v>0</v>
      </c>
      <c r="M30" s="6" t="s">
        <v>27</v>
      </c>
      <c r="N30" s="17">
        <f t="shared" si="1"/>
        <v>52.513999999999996</v>
      </c>
      <c r="O30" s="22">
        <f t="shared" si="2"/>
        <v>1320</v>
      </c>
      <c r="P30" s="23">
        <v>1320</v>
      </c>
      <c r="Q30" s="24">
        <v>2.6514000000000002</v>
      </c>
      <c r="R30" s="25">
        <v>7</v>
      </c>
      <c r="S30" s="23" t="s">
        <v>28</v>
      </c>
      <c r="T30" s="26">
        <f t="shared" si="3"/>
        <v>3506.8480000000004</v>
      </c>
      <c r="U30" s="18">
        <f t="shared" si="4"/>
        <v>13200</v>
      </c>
      <c r="V30" s="6">
        <v>13500</v>
      </c>
      <c r="W30" s="7">
        <v>2.5579399999999999</v>
      </c>
      <c r="X30" s="8">
        <v>0</v>
      </c>
      <c r="Y30" s="6" t="s">
        <v>148</v>
      </c>
      <c r="Z30" s="8">
        <f t="shared" si="5"/>
        <v>34532.189999999995</v>
      </c>
    </row>
    <row r="31" spans="1:26" ht="30" x14ac:dyDescent="0.25">
      <c r="A31" s="6" t="s">
        <v>149</v>
      </c>
      <c r="B31" s="6">
        <v>1</v>
      </c>
      <c r="C31" s="6" t="s">
        <v>150</v>
      </c>
      <c r="D31" s="6" t="s">
        <v>151</v>
      </c>
      <c r="E31" s="6" t="s">
        <v>152</v>
      </c>
      <c r="F31" s="6" t="s">
        <v>24</v>
      </c>
      <c r="G31" s="6" t="s">
        <v>153</v>
      </c>
      <c r="H31" s="28" t="s">
        <v>26</v>
      </c>
      <c r="I31" s="18">
        <f t="shared" si="0"/>
        <v>2</v>
      </c>
      <c r="J31" s="6">
        <v>2</v>
      </c>
      <c r="K31" s="7">
        <v>2.5299999999999998</v>
      </c>
      <c r="L31" s="8">
        <v>0</v>
      </c>
      <c r="M31" s="6" t="s">
        <v>27</v>
      </c>
      <c r="N31" s="17">
        <f t="shared" si="1"/>
        <v>5.0599999999999996</v>
      </c>
      <c r="O31" s="22">
        <f t="shared" si="2"/>
        <v>110</v>
      </c>
      <c r="P31" s="23">
        <v>110</v>
      </c>
      <c r="Q31" s="24">
        <v>1.5392999999999999</v>
      </c>
      <c r="R31" s="25">
        <v>7</v>
      </c>
      <c r="S31" s="23" t="s">
        <v>28</v>
      </c>
      <c r="T31" s="26">
        <f t="shared" si="3"/>
        <v>176.32299999999998</v>
      </c>
      <c r="U31" s="18">
        <f t="shared" si="4"/>
        <v>1100</v>
      </c>
      <c r="V31" s="6">
        <v>1100</v>
      </c>
      <c r="W31" s="7">
        <v>1.4167799999999999</v>
      </c>
      <c r="X31" s="8">
        <v>7</v>
      </c>
      <c r="Y31" s="6" t="s">
        <v>28</v>
      </c>
      <c r="Z31" s="8">
        <f t="shared" si="5"/>
        <v>1565.4579999999999</v>
      </c>
    </row>
    <row r="32" spans="1:26" ht="30" x14ac:dyDescent="0.25">
      <c r="A32" s="6" t="s">
        <v>154</v>
      </c>
      <c r="B32" s="6">
        <v>2</v>
      </c>
      <c r="C32" s="6" t="s">
        <v>155</v>
      </c>
      <c r="D32" s="6" t="s">
        <v>151</v>
      </c>
      <c r="E32" s="6" t="s">
        <v>156</v>
      </c>
      <c r="F32" s="6" t="s">
        <v>24</v>
      </c>
      <c r="G32" s="6" t="s">
        <v>157</v>
      </c>
      <c r="H32" s="28" t="s">
        <v>26</v>
      </c>
      <c r="I32" s="18">
        <f t="shared" si="0"/>
        <v>3</v>
      </c>
      <c r="J32" s="6">
        <v>3</v>
      </c>
      <c r="K32" s="7">
        <v>0.95</v>
      </c>
      <c r="L32" s="8">
        <v>0</v>
      </c>
      <c r="M32" s="6" t="s">
        <v>27</v>
      </c>
      <c r="N32" s="17">
        <f t="shared" si="1"/>
        <v>2.8499999999999996</v>
      </c>
      <c r="O32" s="22">
        <f t="shared" si="2"/>
        <v>220</v>
      </c>
      <c r="P32" s="23">
        <v>220</v>
      </c>
      <c r="Q32" s="24">
        <v>0.54330000000000001</v>
      </c>
      <c r="R32" s="25">
        <v>7</v>
      </c>
      <c r="S32" s="23" t="s">
        <v>28</v>
      </c>
      <c r="T32" s="26">
        <f t="shared" si="3"/>
        <v>126.526</v>
      </c>
      <c r="U32" s="18">
        <f t="shared" si="4"/>
        <v>2200</v>
      </c>
      <c r="V32" s="6">
        <v>2200</v>
      </c>
      <c r="W32" s="7">
        <v>0.48653999999999997</v>
      </c>
      <c r="X32" s="8">
        <v>7</v>
      </c>
      <c r="Y32" s="6" t="s">
        <v>28</v>
      </c>
      <c r="Z32" s="8">
        <f t="shared" si="5"/>
        <v>1077.3879999999999</v>
      </c>
    </row>
    <row r="33" spans="1:26" ht="30" x14ac:dyDescent="0.25">
      <c r="A33" s="6" t="s">
        <v>158</v>
      </c>
      <c r="B33" s="6">
        <v>1</v>
      </c>
      <c r="C33" s="6" t="s">
        <v>159</v>
      </c>
      <c r="D33" s="6" t="s">
        <v>151</v>
      </c>
      <c r="E33" s="6" t="s">
        <v>160</v>
      </c>
      <c r="F33" s="6" t="s">
        <v>24</v>
      </c>
      <c r="G33" s="6" t="s">
        <v>161</v>
      </c>
      <c r="H33" s="28" t="s">
        <v>26</v>
      </c>
      <c r="I33" s="18">
        <f t="shared" si="0"/>
        <v>2</v>
      </c>
      <c r="J33" s="6">
        <v>2</v>
      </c>
      <c r="K33" s="7">
        <v>2.71</v>
      </c>
      <c r="L33" s="8">
        <v>0</v>
      </c>
      <c r="M33" s="6" t="s">
        <v>27</v>
      </c>
      <c r="N33" s="17">
        <f t="shared" si="1"/>
        <v>5.42</v>
      </c>
      <c r="O33" s="22">
        <f t="shared" si="2"/>
        <v>110</v>
      </c>
      <c r="P33" s="23">
        <v>110</v>
      </c>
      <c r="Q33" s="24">
        <v>1.6484000000000001</v>
      </c>
      <c r="R33" s="25">
        <v>7</v>
      </c>
      <c r="S33" s="23" t="s">
        <v>28</v>
      </c>
      <c r="T33" s="26">
        <f t="shared" si="3"/>
        <v>188.32400000000001</v>
      </c>
      <c r="U33" s="18">
        <f t="shared" si="4"/>
        <v>1100</v>
      </c>
      <c r="V33" s="6">
        <v>1100</v>
      </c>
      <c r="W33" s="7">
        <v>1.43208</v>
      </c>
      <c r="X33" s="8">
        <v>7</v>
      </c>
      <c r="Y33" s="6" t="s">
        <v>28</v>
      </c>
      <c r="Z33" s="8">
        <f t="shared" si="5"/>
        <v>1582.288</v>
      </c>
    </row>
    <row r="34" spans="1:26" x14ac:dyDescent="0.25">
      <c r="A34" s="9" t="s">
        <v>252</v>
      </c>
      <c r="B34" s="6"/>
      <c r="C34" s="6"/>
      <c r="D34" s="6"/>
      <c r="E34" s="6"/>
      <c r="F34" s="6"/>
      <c r="G34" s="6"/>
      <c r="H34" s="30"/>
      <c r="I34" s="31"/>
      <c r="J34" s="6"/>
      <c r="K34" s="7"/>
      <c r="L34" s="8"/>
      <c r="M34" s="9" t="s">
        <v>251</v>
      </c>
      <c r="N34" s="17">
        <v>473.57</v>
      </c>
      <c r="O34" s="22">
        <v>100</v>
      </c>
      <c r="P34" s="23">
        <v>100</v>
      </c>
      <c r="Q34" s="24"/>
      <c r="R34" s="25"/>
      <c r="S34" s="23" t="s">
        <v>249</v>
      </c>
      <c r="T34" s="26">
        <v>1288.53</v>
      </c>
      <c r="U34" s="18">
        <v>1000</v>
      </c>
      <c r="V34" s="6">
        <v>1000</v>
      </c>
      <c r="W34" s="7"/>
      <c r="X34" s="8"/>
      <c r="Y34" s="6" t="s">
        <v>250</v>
      </c>
      <c r="Z34" s="8">
        <v>6825.82</v>
      </c>
    </row>
    <row r="35" spans="1:26" x14ac:dyDescent="0.25">
      <c r="A35" s="32" t="s">
        <v>253</v>
      </c>
      <c r="B35" s="33"/>
      <c r="C35" s="33"/>
      <c r="D35" s="33"/>
      <c r="E35" s="33"/>
      <c r="F35" s="33"/>
      <c r="G35" s="33"/>
      <c r="H35" s="33"/>
      <c r="I35" s="33"/>
      <c r="J35" s="33"/>
      <c r="K35" s="34"/>
      <c r="L35" s="34"/>
      <c r="M35" s="33"/>
      <c r="N35" s="21">
        <f>SUM(N6:N34)</f>
        <v>715.93399999999997</v>
      </c>
      <c r="O35" s="22"/>
      <c r="P35" s="23"/>
      <c r="Q35" s="25"/>
      <c r="R35" s="25"/>
      <c r="S35" s="23"/>
      <c r="T35" s="26">
        <f>SUM(T6:T34)</f>
        <v>15492.236000000003</v>
      </c>
      <c r="U35" s="18"/>
      <c r="V35" s="6"/>
      <c r="W35" s="8"/>
      <c r="X35" s="8"/>
      <c r="Y35" s="6"/>
      <c r="Z35" s="8">
        <f>SUM(Z6:Z34)</f>
        <v>140648.45400000003</v>
      </c>
    </row>
    <row r="36" spans="1:26" x14ac:dyDescent="0.25">
      <c r="A36" s="32" t="s">
        <v>254</v>
      </c>
      <c r="B36" s="33"/>
      <c r="C36" s="33"/>
      <c r="D36" s="33"/>
      <c r="E36" s="33"/>
      <c r="F36" s="33"/>
      <c r="G36" s="33"/>
      <c r="H36" s="33"/>
      <c r="I36" s="33"/>
      <c r="J36" s="33"/>
      <c r="K36" s="34"/>
      <c r="L36" s="34"/>
      <c r="M36" s="33"/>
      <c r="N36" s="21">
        <f>N35/1</f>
        <v>715.93399999999997</v>
      </c>
      <c r="O36" s="22"/>
      <c r="P36" s="23"/>
      <c r="Q36" s="25"/>
      <c r="R36" s="25"/>
      <c r="S36" s="23"/>
      <c r="T36" s="26">
        <f>T35/100</f>
        <v>154.92236000000003</v>
      </c>
      <c r="U36" s="18"/>
      <c r="V36" s="6"/>
      <c r="W36" s="8"/>
      <c r="X36" s="8"/>
      <c r="Y36" s="6"/>
      <c r="Z36" s="8">
        <f>Z35/1000</f>
        <v>140.64845400000002</v>
      </c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5.95" customHeight="1" x14ac:dyDescent="0.2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</sheetData>
  <mergeCells count="8">
    <mergeCell ref="A35:M35"/>
    <mergeCell ref="A36:M36"/>
    <mergeCell ref="A39:Z39"/>
    <mergeCell ref="A1:Z1"/>
    <mergeCell ref="A4:H4"/>
    <mergeCell ref="I4:N4"/>
    <mergeCell ref="O4:T4"/>
    <mergeCell ref="U4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"/>
  <sheetViews>
    <sheetView topLeftCell="M18" zoomScale="115" zoomScaleNormal="115" workbookViewId="0">
      <selection activeCell="A31" sqref="A31:M31"/>
    </sheetView>
  </sheetViews>
  <sheetFormatPr defaultRowHeight="15" x14ac:dyDescent="0.25"/>
  <cols>
    <col min="1" max="1" width="28" customWidth="1"/>
    <col min="2" max="2" width="10" customWidth="1"/>
    <col min="3" max="3" width="34" customWidth="1"/>
    <col min="4" max="4" width="21" customWidth="1"/>
    <col min="5" max="5" width="25" customWidth="1"/>
    <col min="6" max="6" width="16" customWidth="1"/>
    <col min="7" max="7" width="45" customWidth="1"/>
    <col min="8" max="8" width="9" customWidth="1"/>
    <col min="9" max="10" width="11" customWidth="1"/>
    <col min="11" max="11" width="12" customWidth="1"/>
    <col min="12" max="12" width="10" customWidth="1"/>
    <col min="13" max="13" width="24" customWidth="1"/>
    <col min="14" max="14" width="14" customWidth="1"/>
    <col min="15" max="16" width="11" customWidth="1"/>
    <col min="17" max="17" width="12" customWidth="1"/>
    <col min="18" max="18" width="10" customWidth="1"/>
    <col min="19" max="19" width="24" customWidth="1"/>
    <col min="20" max="20" width="14" customWidth="1"/>
    <col min="21" max="22" width="11" customWidth="1"/>
    <col min="23" max="23" width="12" customWidth="1"/>
    <col min="24" max="24" width="10" customWidth="1"/>
    <col min="25" max="25" width="24" customWidth="1"/>
    <col min="26" max="26" width="14" customWidth="1"/>
  </cols>
  <sheetData>
    <row r="1" spans="1:26" ht="21" x14ac:dyDescent="0.25">
      <c r="A1" s="37" t="s">
        <v>162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D2" t="s">
        <v>1</v>
      </c>
      <c r="E2" s="1">
        <v>0.1</v>
      </c>
    </row>
    <row r="4" spans="1:26" x14ac:dyDescent="0.25">
      <c r="A4" s="39" t="s">
        <v>240</v>
      </c>
      <c r="B4" s="39"/>
      <c r="C4" s="39"/>
      <c r="D4" s="39"/>
      <c r="E4" s="39"/>
      <c r="F4" s="39"/>
      <c r="G4" s="39"/>
      <c r="H4" s="39"/>
      <c r="I4" s="39" t="s">
        <v>3</v>
      </c>
      <c r="J4" s="39"/>
      <c r="K4" s="39"/>
      <c r="L4" s="39"/>
      <c r="M4" s="39"/>
      <c r="N4" s="39"/>
      <c r="O4" s="39" t="s">
        <v>4</v>
      </c>
      <c r="P4" s="39"/>
      <c r="Q4" s="39"/>
      <c r="R4" s="39"/>
      <c r="S4" s="39"/>
      <c r="T4" s="39"/>
      <c r="U4" s="39" t="s">
        <v>5</v>
      </c>
      <c r="V4" s="39"/>
      <c r="W4" s="39"/>
      <c r="X4" s="39"/>
      <c r="Y4" s="39"/>
      <c r="Z4" s="39"/>
    </row>
    <row r="5" spans="1:26" ht="30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15" t="s">
        <v>13</v>
      </c>
      <c r="I5" s="16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15" t="s">
        <v>19</v>
      </c>
      <c r="O5" s="16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15" t="s">
        <v>19</v>
      </c>
      <c r="U5" s="16" t="s">
        <v>14</v>
      </c>
      <c r="V5" s="5" t="s">
        <v>15</v>
      </c>
      <c r="W5" s="5" t="s">
        <v>16</v>
      </c>
      <c r="X5" s="5" t="s">
        <v>17</v>
      </c>
      <c r="Y5" s="5" t="s">
        <v>18</v>
      </c>
      <c r="Z5" s="5" t="s">
        <v>19</v>
      </c>
    </row>
    <row r="6" spans="1:26" ht="30" x14ac:dyDescent="0.25">
      <c r="A6" s="6" t="s">
        <v>163</v>
      </c>
      <c r="B6" s="6">
        <v>1</v>
      </c>
      <c r="C6" s="6" t="s">
        <v>164</v>
      </c>
      <c r="D6" s="6" t="s">
        <v>165</v>
      </c>
      <c r="E6" s="6" t="s">
        <v>166</v>
      </c>
      <c r="F6" s="6" t="s">
        <v>24</v>
      </c>
      <c r="G6" s="6" t="s">
        <v>167</v>
      </c>
      <c r="H6" s="28" t="s">
        <v>168</v>
      </c>
      <c r="I6" s="18">
        <f t="shared" ref="I6:I29" si="0">ROUNDUP($B6*1*(1+IF($H6="Yes",0,$E$2)),0)</f>
        <v>1</v>
      </c>
      <c r="J6" s="6">
        <v>1</v>
      </c>
      <c r="K6" s="7">
        <v>69.599999999999994</v>
      </c>
      <c r="L6" s="8">
        <v>0</v>
      </c>
      <c r="M6" s="6" t="s">
        <v>27</v>
      </c>
      <c r="N6" s="17">
        <f>J6*K6+L6</f>
        <v>69.599999999999994</v>
      </c>
      <c r="O6" s="22">
        <f t="shared" ref="O6:O29" si="1">ROUNDUP($B6*100*(1+IF($H6="Yes",0,$E$2)),0)</f>
        <v>100</v>
      </c>
      <c r="P6" s="23">
        <v>100</v>
      </c>
      <c r="Q6" s="24">
        <v>62.290199999999999</v>
      </c>
      <c r="R6" s="25">
        <v>0</v>
      </c>
      <c r="S6" s="23" t="s">
        <v>65</v>
      </c>
      <c r="T6" s="26">
        <f>P6*Q6+R6</f>
        <v>6229.0199999999995</v>
      </c>
      <c r="U6" s="18">
        <f t="shared" ref="U6:U29" si="2">ROUNDUP($B6*1000*(1+IF($H6="Yes",0,$E$2)),0)</f>
        <v>1000</v>
      </c>
      <c r="V6" s="6">
        <v>1000</v>
      </c>
      <c r="W6" s="7">
        <v>62.290199999999999</v>
      </c>
      <c r="X6" s="8">
        <v>0</v>
      </c>
      <c r="Y6" s="6" t="s">
        <v>65</v>
      </c>
      <c r="Z6" s="8">
        <f>V6*W6+X6</f>
        <v>62290.2</v>
      </c>
    </row>
    <row r="7" spans="1:26" ht="45" x14ac:dyDescent="0.25">
      <c r="A7" s="6" t="s">
        <v>169</v>
      </c>
      <c r="B7" s="6">
        <v>14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28" t="s">
        <v>26</v>
      </c>
      <c r="I7" s="18">
        <f t="shared" si="0"/>
        <v>16</v>
      </c>
      <c r="J7" s="6">
        <v>16</v>
      </c>
      <c r="K7" s="7">
        <v>1.7000000000000001E-2</v>
      </c>
      <c r="L7" s="8">
        <v>0</v>
      </c>
      <c r="M7" s="6" t="s">
        <v>27</v>
      </c>
      <c r="N7" s="17">
        <f>J7*K7+L7</f>
        <v>0.27200000000000002</v>
      </c>
      <c r="O7" s="22">
        <f t="shared" si="1"/>
        <v>1540</v>
      </c>
      <c r="P7" s="23">
        <v>1540</v>
      </c>
      <c r="Q7" s="24">
        <v>1.2E-2</v>
      </c>
      <c r="R7" s="25">
        <v>7</v>
      </c>
      <c r="S7" s="23" t="s">
        <v>36</v>
      </c>
      <c r="T7" s="26">
        <f>P7*Q7+R7</f>
        <v>25.48</v>
      </c>
      <c r="U7" s="18">
        <f t="shared" si="2"/>
        <v>15400</v>
      </c>
      <c r="V7" s="6">
        <v>20000</v>
      </c>
      <c r="W7" s="7">
        <v>6.0000000000000001E-3</v>
      </c>
      <c r="X7" s="8">
        <v>0</v>
      </c>
      <c r="Y7" s="6" t="s">
        <v>37</v>
      </c>
      <c r="Z7" s="8">
        <f>V7*W7+X7</f>
        <v>120</v>
      </c>
    </row>
    <row r="8" spans="1:26" ht="30" x14ac:dyDescent="0.25">
      <c r="A8" s="6" t="s">
        <v>170</v>
      </c>
      <c r="B8" s="6">
        <v>1</v>
      </c>
      <c r="C8" s="9" t="s">
        <v>244</v>
      </c>
      <c r="D8" s="9" t="s">
        <v>243</v>
      </c>
      <c r="E8" s="9" t="s">
        <v>241</v>
      </c>
      <c r="F8" s="6" t="s">
        <v>24</v>
      </c>
      <c r="G8" s="10" t="s">
        <v>242</v>
      </c>
      <c r="H8" s="28" t="s">
        <v>26</v>
      </c>
      <c r="I8" s="18">
        <f t="shared" si="0"/>
        <v>2</v>
      </c>
      <c r="J8" s="6">
        <v>2</v>
      </c>
      <c r="K8" s="7">
        <v>0.46</v>
      </c>
      <c r="L8" s="8">
        <v>0</v>
      </c>
      <c r="M8" s="6" t="s">
        <v>27</v>
      </c>
      <c r="N8" s="17">
        <f>J8*K8+L8</f>
        <v>0.92</v>
      </c>
      <c r="O8" s="22">
        <f t="shared" si="1"/>
        <v>110</v>
      </c>
      <c r="P8" s="23">
        <v>110</v>
      </c>
      <c r="Q8" s="24">
        <v>0.18140000000000001</v>
      </c>
      <c r="R8" s="25">
        <v>7</v>
      </c>
      <c r="S8" s="23" t="s">
        <v>28</v>
      </c>
      <c r="T8" s="26">
        <f>P8*Q8+R8</f>
        <v>26.954000000000001</v>
      </c>
      <c r="U8" s="18">
        <f t="shared" si="2"/>
        <v>1100</v>
      </c>
      <c r="V8" s="6">
        <v>1100</v>
      </c>
      <c r="W8" s="7">
        <v>0.1447</v>
      </c>
      <c r="X8" s="8">
        <v>7</v>
      </c>
      <c r="Y8" s="6" t="s">
        <v>28</v>
      </c>
      <c r="Z8" s="8">
        <f>V8*W8+X8</f>
        <v>166.17</v>
      </c>
    </row>
    <row r="9" spans="1:26" ht="30" x14ac:dyDescent="0.25">
      <c r="A9" s="6" t="s">
        <v>171</v>
      </c>
      <c r="B9" s="6">
        <v>1</v>
      </c>
      <c r="C9" s="6" t="s">
        <v>172</v>
      </c>
      <c r="D9" s="6" t="s">
        <v>173</v>
      </c>
      <c r="E9" s="6" t="s">
        <v>174</v>
      </c>
      <c r="F9" s="6" t="s">
        <v>24</v>
      </c>
      <c r="G9" s="6" t="s">
        <v>175</v>
      </c>
      <c r="H9" s="28" t="s">
        <v>26</v>
      </c>
      <c r="I9" s="18">
        <f t="shared" si="0"/>
        <v>2</v>
      </c>
      <c r="J9" s="6">
        <v>2</v>
      </c>
      <c r="K9" s="7">
        <v>0.3</v>
      </c>
      <c r="L9" s="8">
        <v>0</v>
      </c>
      <c r="M9" s="6" t="s">
        <v>27</v>
      </c>
      <c r="N9" s="17">
        <f t="shared" ref="N9:N17" si="3">J9*K9+L9</f>
        <v>0.6</v>
      </c>
      <c r="O9" s="22">
        <f t="shared" si="1"/>
        <v>110</v>
      </c>
      <c r="P9" s="23">
        <v>110</v>
      </c>
      <c r="Q9" s="24">
        <v>0.1108</v>
      </c>
      <c r="R9" s="25">
        <v>7</v>
      </c>
      <c r="S9" s="23" t="s">
        <v>28</v>
      </c>
      <c r="T9" s="26">
        <f t="shared" ref="T9:T17" si="4">P9*Q9+R9</f>
        <v>19.187999999999999</v>
      </c>
      <c r="U9" s="18">
        <f t="shared" si="2"/>
        <v>1100</v>
      </c>
      <c r="V9" s="6">
        <v>1100</v>
      </c>
      <c r="W9" s="7">
        <v>8.5559999999999997E-2</v>
      </c>
      <c r="X9" s="8">
        <v>7</v>
      </c>
      <c r="Y9" s="6" t="s">
        <v>28</v>
      </c>
      <c r="Z9" s="8">
        <f t="shared" ref="Z9:Z17" si="5">V9*W9+X9</f>
        <v>101.116</v>
      </c>
    </row>
    <row r="10" spans="1:26" ht="30" x14ac:dyDescent="0.25">
      <c r="A10" s="6" t="s">
        <v>176</v>
      </c>
      <c r="B10" s="6">
        <v>2</v>
      </c>
      <c r="C10" s="6" t="s">
        <v>177</v>
      </c>
      <c r="D10" s="6" t="s">
        <v>32</v>
      </c>
      <c r="E10" s="6" t="s">
        <v>178</v>
      </c>
      <c r="F10" s="6" t="s">
        <v>24</v>
      </c>
      <c r="G10" s="6" t="s">
        <v>179</v>
      </c>
      <c r="H10" s="28" t="s">
        <v>26</v>
      </c>
      <c r="I10" s="18">
        <f t="shared" si="0"/>
        <v>3</v>
      </c>
      <c r="J10" s="6">
        <v>3</v>
      </c>
      <c r="K10" s="7">
        <v>0.1</v>
      </c>
      <c r="L10" s="8">
        <v>0</v>
      </c>
      <c r="M10" s="6" t="s">
        <v>27</v>
      </c>
      <c r="N10" s="17">
        <f t="shared" si="3"/>
        <v>0.30000000000000004</v>
      </c>
      <c r="O10" s="22">
        <f t="shared" si="1"/>
        <v>220</v>
      </c>
      <c r="P10" s="23">
        <v>220</v>
      </c>
      <c r="Q10" s="24">
        <v>1.46E-2</v>
      </c>
      <c r="R10" s="25">
        <v>7</v>
      </c>
      <c r="S10" s="23" t="s">
        <v>28</v>
      </c>
      <c r="T10" s="26">
        <f t="shared" si="4"/>
        <v>10.212</v>
      </c>
      <c r="U10" s="18">
        <f t="shared" si="2"/>
        <v>2200</v>
      </c>
      <c r="V10" s="6">
        <v>2200</v>
      </c>
      <c r="W10" s="7">
        <v>1.0240000000000001E-2</v>
      </c>
      <c r="X10" s="8">
        <v>7</v>
      </c>
      <c r="Y10" s="6" t="s">
        <v>28</v>
      </c>
      <c r="Z10" s="8">
        <f t="shared" si="5"/>
        <v>29.528000000000002</v>
      </c>
    </row>
    <row r="11" spans="1:26" ht="30" x14ac:dyDescent="0.25">
      <c r="A11" s="6" t="s">
        <v>180</v>
      </c>
      <c r="B11" s="6">
        <v>3</v>
      </c>
      <c r="C11" s="6" t="s">
        <v>181</v>
      </c>
      <c r="D11" s="6" t="s">
        <v>182</v>
      </c>
      <c r="E11" s="6" t="s">
        <v>183</v>
      </c>
      <c r="F11" s="6" t="s">
        <v>24</v>
      </c>
      <c r="G11" s="6" t="s">
        <v>184</v>
      </c>
      <c r="H11" s="28" t="s">
        <v>26</v>
      </c>
      <c r="I11" s="18">
        <f t="shared" si="0"/>
        <v>4</v>
      </c>
      <c r="J11" s="6">
        <v>4</v>
      </c>
      <c r="K11" s="7">
        <v>0.13</v>
      </c>
      <c r="L11" s="8">
        <v>0</v>
      </c>
      <c r="M11" s="6" t="s">
        <v>27</v>
      </c>
      <c r="N11" s="17">
        <f t="shared" si="3"/>
        <v>0.52</v>
      </c>
      <c r="O11" s="22">
        <f t="shared" si="1"/>
        <v>330</v>
      </c>
      <c r="P11" s="23">
        <v>330</v>
      </c>
      <c r="Q11" s="24">
        <v>5.4480000000000001E-2</v>
      </c>
      <c r="R11" s="25">
        <v>7</v>
      </c>
      <c r="S11" s="23" t="s">
        <v>28</v>
      </c>
      <c r="T11" s="26">
        <f t="shared" si="4"/>
        <v>24.978400000000001</v>
      </c>
      <c r="U11" s="18">
        <f t="shared" si="2"/>
        <v>3300</v>
      </c>
      <c r="V11" s="6">
        <v>3300</v>
      </c>
      <c r="W11" s="7">
        <v>4.2700000000000002E-2</v>
      </c>
      <c r="X11" s="8">
        <v>7</v>
      </c>
      <c r="Y11" s="6" t="s">
        <v>28</v>
      </c>
      <c r="Z11" s="8">
        <f t="shared" si="5"/>
        <v>147.91</v>
      </c>
    </row>
    <row r="12" spans="1:26" ht="30" x14ac:dyDescent="0.25">
      <c r="A12" s="6" t="s">
        <v>185</v>
      </c>
      <c r="B12" s="6">
        <v>1</v>
      </c>
      <c r="C12" s="6" t="s">
        <v>186</v>
      </c>
      <c r="D12" s="6" t="s">
        <v>187</v>
      </c>
      <c r="E12" s="6" t="s">
        <v>188</v>
      </c>
      <c r="F12" s="6" t="s">
        <v>24</v>
      </c>
      <c r="G12" s="6" t="s">
        <v>189</v>
      </c>
      <c r="H12" s="28" t="s">
        <v>26</v>
      </c>
      <c r="I12" s="18">
        <f t="shared" si="0"/>
        <v>2</v>
      </c>
      <c r="J12" s="6">
        <v>2</v>
      </c>
      <c r="K12" s="7">
        <v>5.81</v>
      </c>
      <c r="L12" s="8">
        <v>0</v>
      </c>
      <c r="M12" s="6" t="s">
        <v>27</v>
      </c>
      <c r="N12" s="17">
        <f t="shared" si="3"/>
        <v>11.62</v>
      </c>
      <c r="O12" s="22">
        <f t="shared" si="1"/>
        <v>110</v>
      </c>
      <c r="P12" s="23">
        <v>110</v>
      </c>
      <c r="Q12" s="24">
        <v>4.266</v>
      </c>
      <c r="R12" s="25">
        <v>0</v>
      </c>
      <c r="S12" s="23" t="s">
        <v>65</v>
      </c>
      <c r="T12" s="26">
        <f t="shared" si="4"/>
        <v>469.26</v>
      </c>
      <c r="U12" s="18">
        <f t="shared" si="2"/>
        <v>1100</v>
      </c>
      <c r="V12" s="6">
        <v>1100</v>
      </c>
      <c r="W12" s="7">
        <v>3.8653900000000001</v>
      </c>
      <c r="X12" s="8">
        <v>0</v>
      </c>
      <c r="Y12" s="6" t="s">
        <v>65</v>
      </c>
      <c r="Z12" s="8">
        <f t="shared" si="5"/>
        <v>4251.9290000000001</v>
      </c>
    </row>
    <row r="13" spans="1:26" ht="30" x14ac:dyDescent="0.25">
      <c r="A13" s="6" t="s">
        <v>190</v>
      </c>
      <c r="B13" s="6">
        <v>1</v>
      </c>
      <c r="C13" s="6" t="s">
        <v>67</v>
      </c>
      <c r="D13" s="6" t="s">
        <v>62</v>
      </c>
      <c r="E13" s="6" t="s">
        <v>68</v>
      </c>
      <c r="F13" s="6" t="s">
        <v>24</v>
      </c>
      <c r="G13" s="6" t="s">
        <v>69</v>
      </c>
      <c r="H13" s="28" t="s">
        <v>26</v>
      </c>
      <c r="I13" s="18">
        <f t="shared" si="0"/>
        <v>2</v>
      </c>
      <c r="J13" s="6">
        <v>2</v>
      </c>
      <c r="K13" s="7">
        <v>4.58</v>
      </c>
      <c r="L13" s="8">
        <v>0</v>
      </c>
      <c r="M13" s="6" t="s">
        <v>27</v>
      </c>
      <c r="N13" s="17">
        <f t="shared" si="3"/>
        <v>9.16</v>
      </c>
      <c r="O13" s="22">
        <f t="shared" si="1"/>
        <v>110</v>
      </c>
      <c r="P13" s="23">
        <v>110</v>
      </c>
      <c r="Q13" s="24">
        <v>3.3090999999999999</v>
      </c>
      <c r="R13" s="25">
        <v>0</v>
      </c>
      <c r="S13" s="23" t="s">
        <v>65</v>
      </c>
      <c r="T13" s="26">
        <f t="shared" si="4"/>
        <v>364.00099999999998</v>
      </c>
      <c r="U13" s="18">
        <f t="shared" si="2"/>
        <v>1100</v>
      </c>
      <c r="V13" s="6">
        <v>1100</v>
      </c>
      <c r="W13" s="7">
        <v>2.9539200000000001</v>
      </c>
      <c r="X13" s="8">
        <v>0</v>
      </c>
      <c r="Y13" s="6" t="s">
        <v>65</v>
      </c>
      <c r="Z13" s="8">
        <f t="shared" si="5"/>
        <v>3249.3119999999999</v>
      </c>
    </row>
    <row r="14" spans="1:26" ht="30" x14ac:dyDescent="0.25">
      <c r="A14" s="6" t="s">
        <v>191</v>
      </c>
      <c r="B14" s="6">
        <v>1</v>
      </c>
      <c r="C14" s="6" t="s">
        <v>192</v>
      </c>
      <c r="D14" s="6" t="s">
        <v>165</v>
      </c>
      <c r="E14" s="6" t="s">
        <v>193</v>
      </c>
      <c r="F14" s="6" t="s">
        <v>24</v>
      </c>
      <c r="G14" s="6" t="s">
        <v>194</v>
      </c>
      <c r="H14" s="28" t="s">
        <v>168</v>
      </c>
      <c r="I14" s="18">
        <f t="shared" si="0"/>
        <v>1</v>
      </c>
      <c r="J14" s="6">
        <v>1</v>
      </c>
      <c r="K14" s="7">
        <v>63.6</v>
      </c>
      <c r="L14" s="8">
        <v>0</v>
      </c>
      <c r="M14" s="6" t="s">
        <v>27</v>
      </c>
      <c r="N14" s="17">
        <f t="shared" si="3"/>
        <v>63.6</v>
      </c>
      <c r="O14" s="22">
        <f t="shared" si="1"/>
        <v>100</v>
      </c>
      <c r="P14" s="23">
        <v>100</v>
      </c>
      <c r="Q14" s="24">
        <v>56.920099999999998</v>
      </c>
      <c r="R14" s="25">
        <v>0</v>
      </c>
      <c r="S14" s="23" t="s">
        <v>65</v>
      </c>
      <c r="T14" s="26">
        <f t="shared" si="4"/>
        <v>5692.01</v>
      </c>
      <c r="U14" s="18">
        <f t="shared" si="2"/>
        <v>1000</v>
      </c>
      <c r="V14" s="6">
        <v>1000</v>
      </c>
      <c r="W14" s="7">
        <v>56.920099999999998</v>
      </c>
      <c r="X14" s="8">
        <v>0</v>
      </c>
      <c r="Y14" s="6" t="s">
        <v>65</v>
      </c>
      <c r="Z14" s="8">
        <f t="shared" si="5"/>
        <v>56920.1</v>
      </c>
    </row>
    <row r="15" spans="1:26" ht="30" x14ac:dyDescent="0.25">
      <c r="A15" s="6" t="s">
        <v>195</v>
      </c>
      <c r="B15" s="6">
        <v>1</v>
      </c>
      <c r="C15" s="6" t="s">
        <v>196</v>
      </c>
      <c r="D15" s="6" t="s">
        <v>197</v>
      </c>
      <c r="E15" s="6" t="s">
        <v>198</v>
      </c>
      <c r="F15" s="6" t="s">
        <v>24</v>
      </c>
      <c r="G15" s="6" t="s">
        <v>199</v>
      </c>
      <c r="H15" s="28" t="s">
        <v>26</v>
      </c>
      <c r="I15" s="18">
        <f t="shared" si="0"/>
        <v>2</v>
      </c>
      <c r="J15" s="6">
        <v>2</v>
      </c>
      <c r="K15" s="7">
        <v>1.95</v>
      </c>
      <c r="L15" s="8">
        <v>0</v>
      </c>
      <c r="M15" s="6" t="s">
        <v>27</v>
      </c>
      <c r="N15" s="17">
        <f t="shared" si="3"/>
        <v>3.9</v>
      </c>
      <c r="O15" s="22">
        <f t="shared" si="1"/>
        <v>110</v>
      </c>
      <c r="P15" s="23">
        <v>110</v>
      </c>
      <c r="Q15" s="24">
        <v>1.95</v>
      </c>
      <c r="R15" s="25">
        <v>0</v>
      </c>
      <c r="S15" s="23" t="s">
        <v>65</v>
      </c>
      <c r="T15" s="26">
        <f t="shared" si="4"/>
        <v>214.5</v>
      </c>
      <c r="U15" s="18">
        <f t="shared" si="2"/>
        <v>1100</v>
      </c>
      <c r="V15" s="6">
        <v>1100</v>
      </c>
      <c r="W15" s="7">
        <v>1.95</v>
      </c>
      <c r="X15" s="8">
        <v>0</v>
      </c>
      <c r="Y15" s="6" t="s">
        <v>65</v>
      </c>
      <c r="Z15" s="8">
        <f t="shared" si="5"/>
        <v>2145</v>
      </c>
    </row>
    <row r="16" spans="1:26" ht="30" x14ac:dyDescent="0.25">
      <c r="A16" s="6" t="s">
        <v>200</v>
      </c>
      <c r="B16" s="6">
        <v>5</v>
      </c>
      <c r="C16" s="6" t="s">
        <v>115</v>
      </c>
      <c r="D16" s="6" t="s">
        <v>111</v>
      </c>
      <c r="E16" s="6" t="s">
        <v>116</v>
      </c>
      <c r="F16" s="6" t="s">
        <v>24</v>
      </c>
      <c r="G16" s="6" t="s">
        <v>117</v>
      </c>
      <c r="H16" s="28" t="s">
        <v>26</v>
      </c>
      <c r="I16" s="18">
        <f t="shared" si="0"/>
        <v>6</v>
      </c>
      <c r="J16" s="6">
        <v>6</v>
      </c>
      <c r="K16" s="7">
        <v>0.1</v>
      </c>
      <c r="L16" s="8">
        <v>0</v>
      </c>
      <c r="M16" s="6" t="s">
        <v>27</v>
      </c>
      <c r="N16" s="17">
        <f t="shared" si="3"/>
        <v>0.60000000000000009</v>
      </c>
      <c r="O16" s="22">
        <f t="shared" si="1"/>
        <v>550</v>
      </c>
      <c r="P16" s="23">
        <v>550</v>
      </c>
      <c r="Q16" s="24">
        <v>1.034E-2</v>
      </c>
      <c r="R16" s="25">
        <v>7</v>
      </c>
      <c r="S16" s="23" t="s">
        <v>28</v>
      </c>
      <c r="T16" s="26">
        <f t="shared" si="4"/>
        <v>12.687000000000001</v>
      </c>
      <c r="U16" s="18">
        <f t="shared" si="2"/>
        <v>5500</v>
      </c>
      <c r="V16" s="6">
        <v>5500</v>
      </c>
      <c r="W16" s="7">
        <v>6.4200000000000004E-3</v>
      </c>
      <c r="X16" s="8">
        <v>7</v>
      </c>
      <c r="Y16" s="6" t="s">
        <v>28</v>
      </c>
      <c r="Z16" s="8">
        <f t="shared" si="5"/>
        <v>42.31</v>
      </c>
    </row>
    <row r="17" spans="1:26" ht="45" x14ac:dyDescent="0.25">
      <c r="A17" s="11" t="s">
        <v>201</v>
      </c>
      <c r="B17" s="11">
        <v>5</v>
      </c>
      <c r="C17" s="11" t="s">
        <v>245</v>
      </c>
      <c r="D17" s="11" t="s">
        <v>87</v>
      </c>
      <c r="E17" s="11" t="s">
        <v>246</v>
      </c>
      <c r="F17" s="12" t="s">
        <v>24</v>
      </c>
      <c r="G17" s="11" t="s">
        <v>247</v>
      </c>
      <c r="H17" s="29" t="s">
        <v>26</v>
      </c>
      <c r="I17" s="20">
        <f t="shared" si="0"/>
        <v>6</v>
      </c>
      <c r="J17" s="11">
        <v>10</v>
      </c>
      <c r="K17" s="13">
        <v>3.1E-2</v>
      </c>
      <c r="L17" s="14">
        <v>0</v>
      </c>
      <c r="M17" s="11" t="s">
        <v>27</v>
      </c>
      <c r="N17" s="19">
        <f t="shared" si="3"/>
        <v>0.31</v>
      </c>
      <c r="O17" s="22">
        <f t="shared" si="1"/>
        <v>550</v>
      </c>
      <c r="P17" s="23">
        <v>550</v>
      </c>
      <c r="Q17" s="24">
        <v>1.7999999999999999E-2</v>
      </c>
      <c r="R17" s="25">
        <v>7</v>
      </c>
      <c r="S17" s="27" t="s">
        <v>28</v>
      </c>
      <c r="T17" s="26">
        <f t="shared" si="4"/>
        <v>16.899999999999999</v>
      </c>
      <c r="U17" s="20">
        <f t="shared" si="2"/>
        <v>5500</v>
      </c>
      <c r="V17" s="11">
        <v>5500</v>
      </c>
      <c r="W17" s="13">
        <v>6.3099999999999996E-3</v>
      </c>
      <c r="X17" s="14">
        <v>7</v>
      </c>
      <c r="Y17" s="11" t="s">
        <v>248</v>
      </c>
      <c r="Z17" s="14">
        <f t="shared" si="5"/>
        <v>41.704999999999998</v>
      </c>
    </row>
    <row r="18" spans="1:26" ht="30" x14ac:dyDescent="0.25">
      <c r="A18" s="6" t="s">
        <v>202</v>
      </c>
      <c r="B18" s="6">
        <v>1</v>
      </c>
      <c r="C18" s="6" t="s">
        <v>203</v>
      </c>
      <c r="D18" s="6" t="s">
        <v>204</v>
      </c>
      <c r="E18" s="6" t="s">
        <v>205</v>
      </c>
      <c r="F18" s="6" t="s">
        <v>24</v>
      </c>
      <c r="G18" s="6" t="s">
        <v>206</v>
      </c>
      <c r="H18" s="28" t="s">
        <v>26</v>
      </c>
      <c r="I18" s="18">
        <f t="shared" si="0"/>
        <v>2</v>
      </c>
      <c r="J18" s="6">
        <v>2</v>
      </c>
      <c r="K18" s="7">
        <v>0.1</v>
      </c>
      <c r="L18" s="8">
        <v>0</v>
      </c>
      <c r="M18" s="6" t="s">
        <v>27</v>
      </c>
      <c r="N18" s="17">
        <f t="shared" ref="N18:N29" si="6">J18*K18+L18</f>
        <v>0.2</v>
      </c>
      <c r="O18" s="22">
        <f t="shared" si="1"/>
        <v>110</v>
      </c>
      <c r="P18" s="23">
        <v>110</v>
      </c>
      <c r="Q18" s="24">
        <v>5.7099999999999998E-2</v>
      </c>
      <c r="R18" s="25">
        <v>7</v>
      </c>
      <c r="S18" s="23" t="s">
        <v>28</v>
      </c>
      <c r="T18" s="26">
        <f t="shared" ref="T18:T29" si="7">P18*Q18+R18</f>
        <v>13.280999999999999</v>
      </c>
      <c r="U18" s="18">
        <f t="shared" si="2"/>
        <v>1100</v>
      </c>
      <c r="V18" s="6">
        <v>1100</v>
      </c>
      <c r="W18" s="7">
        <v>4.7500000000000001E-2</v>
      </c>
      <c r="X18" s="8">
        <v>7</v>
      </c>
      <c r="Y18" s="6" t="s">
        <v>28</v>
      </c>
      <c r="Z18" s="8">
        <f t="shared" ref="Z18:Z29" si="8">V18*W18+X18</f>
        <v>59.25</v>
      </c>
    </row>
    <row r="19" spans="1:26" ht="30" x14ac:dyDescent="0.25">
      <c r="A19" s="6" t="s">
        <v>207</v>
      </c>
      <c r="B19" s="6">
        <v>4</v>
      </c>
      <c r="C19" s="6" t="s">
        <v>208</v>
      </c>
      <c r="D19" s="6" t="s">
        <v>111</v>
      </c>
      <c r="E19" s="6" t="s">
        <v>209</v>
      </c>
      <c r="F19" s="6" t="s">
        <v>24</v>
      </c>
      <c r="G19" s="6" t="s">
        <v>210</v>
      </c>
      <c r="H19" s="28" t="s">
        <v>26</v>
      </c>
      <c r="I19" s="18">
        <f t="shared" si="0"/>
        <v>5</v>
      </c>
      <c r="J19" s="6">
        <v>5</v>
      </c>
      <c r="K19" s="7">
        <v>0.1</v>
      </c>
      <c r="L19" s="8">
        <v>0</v>
      </c>
      <c r="M19" s="6" t="s">
        <v>27</v>
      </c>
      <c r="N19" s="17">
        <f t="shared" si="6"/>
        <v>0.5</v>
      </c>
      <c r="O19" s="22">
        <f t="shared" si="1"/>
        <v>440</v>
      </c>
      <c r="P19" s="23">
        <v>440</v>
      </c>
      <c r="Q19" s="24">
        <v>1.2279999999999999E-2</v>
      </c>
      <c r="R19" s="25">
        <v>7</v>
      </c>
      <c r="S19" s="23" t="s">
        <v>28</v>
      </c>
      <c r="T19" s="26">
        <f t="shared" si="7"/>
        <v>12.4032</v>
      </c>
      <c r="U19" s="18">
        <f t="shared" si="2"/>
        <v>4400</v>
      </c>
      <c r="V19" s="6">
        <v>4400</v>
      </c>
      <c r="W19" s="7">
        <v>8.8199999999999997E-3</v>
      </c>
      <c r="X19" s="8">
        <v>7</v>
      </c>
      <c r="Y19" s="6" t="s">
        <v>28</v>
      </c>
      <c r="Z19" s="8">
        <f t="shared" si="8"/>
        <v>45.808</v>
      </c>
    </row>
    <row r="20" spans="1:26" ht="30" x14ac:dyDescent="0.25">
      <c r="A20" s="6" t="s">
        <v>211</v>
      </c>
      <c r="B20" s="6">
        <v>4</v>
      </c>
      <c r="C20" s="6" t="s">
        <v>212</v>
      </c>
      <c r="D20" s="6" t="s">
        <v>111</v>
      </c>
      <c r="E20" s="6" t="s">
        <v>213</v>
      </c>
      <c r="F20" s="6" t="s">
        <v>24</v>
      </c>
      <c r="G20" s="6" t="s">
        <v>214</v>
      </c>
      <c r="H20" s="28" t="s">
        <v>26</v>
      </c>
      <c r="I20" s="18">
        <f t="shared" si="0"/>
        <v>5</v>
      </c>
      <c r="J20" s="6">
        <v>5</v>
      </c>
      <c r="K20" s="7">
        <v>0.1</v>
      </c>
      <c r="L20" s="8">
        <v>0</v>
      </c>
      <c r="M20" s="6" t="s">
        <v>27</v>
      </c>
      <c r="N20" s="17">
        <f t="shared" si="6"/>
        <v>0.5</v>
      </c>
      <c r="O20" s="22">
        <f t="shared" si="1"/>
        <v>440</v>
      </c>
      <c r="P20" s="23">
        <v>440</v>
      </c>
      <c r="Q20" s="24">
        <v>1.6080000000000001E-2</v>
      </c>
      <c r="R20" s="25">
        <v>7</v>
      </c>
      <c r="S20" s="23" t="s">
        <v>28</v>
      </c>
      <c r="T20" s="26">
        <f t="shared" si="7"/>
        <v>14.075200000000001</v>
      </c>
      <c r="U20" s="18">
        <f t="shared" si="2"/>
        <v>4400</v>
      </c>
      <c r="V20" s="6">
        <v>4400</v>
      </c>
      <c r="W20" s="7">
        <v>1.1809999999999999E-2</v>
      </c>
      <c r="X20" s="8">
        <v>7</v>
      </c>
      <c r="Y20" s="6" t="s">
        <v>28</v>
      </c>
      <c r="Z20" s="8">
        <f t="shared" si="8"/>
        <v>58.963999999999999</v>
      </c>
    </row>
    <row r="21" spans="1:26" ht="30" x14ac:dyDescent="0.25">
      <c r="A21" s="6" t="s">
        <v>215</v>
      </c>
      <c r="B21" s="6">
        <v>1</v>
      </c>
      <c r="C21" s="6" t="s">
        <v>216</v>
      </c>
      <c r="D21" s="6" t="s">
        <v>111</v>
      </c>
      <c r="E21" s="6" t="s">
        <v>217</v>
      </c>
      <c r="F21" s="6" t="s">
        <v>24</v>
      </c>
      <c r="G21" s="6" t="s">
        <v>218</v>
      </c>
      <c r="H21" s="28" t="s">
        <v>26</v>
      </c>
      <c r="I21" s="18">
        <f t="shared" si="0"/>
        <v>2</v>
      </c>
      <c r="J21" s="6">
        <v>2</v>
      </c>
      <c r="K21" s="7">
        <v>0.1</v>
      </c>
      <c r="L21" s="8">
        <v>0</v>
      </c>
      <c r="M21" s="6" t="s">
        <v>27</v>
      </c>
      <c r="N21" s="17">
        <f t="shared" si="6"/>
        <v>0.2</v>
      </c>
      <c r="O21" s="22">
        <f t="shared" si="1"/>
        <v>110</v>
      </c>
      <c r="P21" s="23">
        <v>110</v>
      </c>
      <c r="Q21" s="24">
        <v>1.5699999999999999E-2</v>
      </c>
      <c r="R21" s="25">
        <v>7</v>
      </c>
      <c r="S21" s="23" t="s">
        <v>28</v>
      </c>
      <c r="T21" s="26">
        <f t="shared" si="7"/>
        <v>8.7270000000000003</v>
      </c>
      <c r="U21" s="18">
        <f t="shared" si="2"/>
        <v>1100</v>
      </c>
      <c r="V21" s="6">
        <v>1100</v>
      </c>
      <c r="W21" s="7">
        <v>8.8199999999999997E-3</v>
      </c>
      <c r="X21" s="8">
        <v>7</v>
      </c>
      <c r="Y21" s="6" t="s">
        <v>28</v>
      </c>
      <c r="Z21" s="8">
        <f t="shared" si="8"/>
        <v>16.701999999999998</v>
      </c>
    </row>
    <row r="22" spans="1:26" ht="30" x14ac:dyDescent="0.25">
      <c r="A22" s="6" t="s">
        <v>219</v>
      </c>
      <c r="B22" s="6">
        <v>2</v>
      </c>
      <c r="C22" s="6" t="s">
        <v>220</v>
      </c>
      <c r="D22" s="6" t="s">
        <v>87</v>
      </c>
      <c r="E22" s="6" t="s">
        <v>221</v>
      </c>
      <c r="F22" s="6" t="s">
        <v>24</v>
      </c>
      <c r="G22" s="6" t="s">
        <v>222</v>
      </c>
      <c r="H22" s="28" t="s">
        <v>26</v>
      </c>
      <c r="I22" s="18">
        <f t="shared" si="0"/>
        <v>3</v>
      </c>
      <c r="J22" s="6">
        <v>3</v>
      </c>
      <c r="K22" s="7">
        <v>0.1</v>
      </c>
      <c r="L22" s="8">
        <v>0</v>
      </c>
      <c r="M22" s="6" t="s">
        <v>27</v>
      </c>
      <c r="N22" s="17">
        <f t="shared" si="6"/>
        <v>0.30000000000000004</v>
      </c>
      <c r="O22" s="22">
        <f t="shared" si="1"/>
        <v>220</v>
      </c>
      <c r="P22" s="23">
        <v>220</v>
      </c>
      <c r="Q22" s="24">
        <v>1.55E-2</v>
      </c>
      <c r="R22" s="25">
        <v>7</v>
      </c>
      <c r="S22" s="23" t="s">
        <v>28</v>
      </c>
      <c r="T22" s="26">
        <f t="shared" si="7"/>
        <v>10.41</v>
      </c>
      <c r="U22" s="18">
        <f t="shared" si="2"/>
        <v>2200</v>
      </c>
      <c r="V22" s="6">
        <v>2200</v>
      </c>
      <c r="W22" s="7">
        <v>8.6800000000000002E-3</v>
      </c>
      <c r="X22" s="8">
        <v>7</v>
      </c>
      <c r="Y22" s="6" t="s">
        <v>28</v>
      </c>
      <c r="Z22" s="8">
        <f t="shared" si="8"/>
        <v>26.096</v>
      </c>
    </row>
    <row r="23" spans="1:26" ht="30" x14ac:dyDescent="0.25">
      <c r="A23" s="6" t="s">
        <v>223</v>
      </c>
      <c r="B23" s="6">
        <v>1</v>
      </c>
      <c r="C23" s="6" t="s">
        <v>110</v>
      </c>
      <c r="D23" s="6" t="s">
        <v>111</v>
      </c>
      <c r="E23" s="6" t="s">
        <v>112</v>
      </c>
      <c r="F23" s="6" t="s">
        <v>24</v>
      </c>
      <c r="G23" s="6" t="s">
        <v>113</v>
      </c>
      <c r="H23" s="28" t="s">
        <v>26</v>
      </c>
      <c r="I23" s="18">
        <f t="shared" si="0"/>
        <v>2</v>
      </c>
      <c r="J23" s="6">
        <v>2</v>
      </c>
      <c r="K23" s="7">
        <v>0.1</v>
      </c>
      <c r="L23" s="8">
        <v>0</v>
      </c>
      <c r="M23" s="6" t="s">
        <v>27</v>
      </c>
      <c r="N23" s="17">
        <f t="shared" si="6"/>
        <v>0.2</v>
      </c>
      <c r="O23" s="22">
        <f t="shared" si="1"/>
        <v>110</v>
      </c>
      <c r="P23" s="23">
        <v>110</v>
      </c>
      <c r="Q23" s="24">
        <v>9.9000000000000008E-3</v>
      </c>
      <c r="R23" s="25">
        <v>7</v>
      </c>
      <c r="S23" s="23" t="s">
        <v>28</v>
      </c>
      <c r="T23" s="26">
        <f t="shared" si="7"/>
        <v>8.0890000000000004</v>
      </c>
      <c r="U23" s="18">
        <f t="shared" si="2"/>
        <v>1100</v>
      </c>
      <c r="V23" s="6">
        <v>1100</v>
      </c>
      <c r="W23" s="7">
        <v>6.5300000000000002E-3</v>
      </c>
      <c r="X23" s="8">
        <v>7</v>
      </c>
      <c r="Y23" s="6" t="s">
        <v>28</v>
      </c>
      <c r="Z23" s="8">
        <f t="shared" si="8"/>
        <v>14.183</v>
      </c>
    </row>
    <row r="24" spans="1:26" ht="30" x14ac:dyDescent="0.25">
      <c r="A24" s="6" t="s">
        <v>224</v>
      </c>
      <c r="B24" s="6">
        <v>1</v>
      </c>
      <c r="C24" s="6" t="s">
        <v>127</v>
      </c>
      <c r="D24" s="6" t="s">
        <v>106</v>
      </c>
      <c r="E24" s="6" t="s">
        <v>128</v>
      </c>
      <c r="F24" s="6" t="s">
        <v>24</v>
      </c>
      <c r="G24" s="6" t="s">
        <v>129</v>
      </c>
      <c r="H24" s="28" t="s">
        <v>26</v>
      </c>
      <c r="I24" s="18">
        <f t="shared" si="0"/>
        <v>2</v>
      </c>
      <c r="J24" s="6">
        <v>2</v>
      </c>
      <c r="K24" s="7">
        <v>0.27</v>
      </c>
      <c r="L24" s="8">
        <v>0</v>
      </c>
      <c r="M24" s="6" t="s">
        <v>27</v>
      </c>
      <c r="N24" s="17">
        <f t="shared" si="6"/>
        <v>0.54</v>
      </c>
      <c r="O24" s="22">
        <f t="shared" si="1"/>
        <v>110</v>
      </c>
      <c r="P24" s="23">
        <v>110</v>
      </c>
      <c r="Q24" s="24">
        <v>0.19</v>
      </c>
      <c r="R24" s="25">
        <v>0</v>
      </c>
      <c r="S24" s="23" t="s">
        <v>65</v>
      </c>
      <c r="T24" s="26">
        <f t="shared" si="7"/>
        <v>20.9</v>
      </c>
      <c r="U24" s="18">
        <f t="shared" si="2"/>
        <v>1100</v>
      </c>
      <c r="V24" s="6">
        <v>1100</v>
      </c>
      <c r="W24" s="7">
        <v>0.19</v>
      </c>
      <c r="X24" s="8">
        <v>0</v>
      </c>
      <c r="Y24" s="6" t="s">
        <v>65</v>
      </c>
      <c r="Z24" s="8">
        <f t="shared" si="8"/>
        <v>209</v>
      </c>
    </row>
    <row r="25" spans="1:26" ht="30" x14ac:dyDescent="0.25">
      <c r="A25" s="6" t="s">
        <v>225</v>
      </c>
      <c r="B25" s="6">
        <v>1</v>
      </c>
      <c r="C25" s="6" t="s">
        <v>131</v>
      </c>
      <c r="D25" s="6" t="s">
        <v>106</v>
      </c>
      <c r="E25" s="6" t="s">
        <v>132</v>
      </c>
      <c r="F25" s="6" t="s">
        <v>24</v>
      </c>
      <c r="G25" s="6" t="s">
        <v>133</v>
      </c>
      <c r="H25" s="28" t="s">
        <v>26</v>
      </c>
      <c r="I25" s="18">
        <f t="shared" si="0"/>
        <v>2</v>
      </c>
      <c r="J25" s="6">
        <v>2</v>
      </c>
      <c r="K25" s="7">
        <v>0.27</v>
      </c>
      <c r="L25" s="8">
        <v>0</v>
      </c>
      <c r="M25" s="6" t="s">
        <v>27</v>
      </c>
      <c r="N25" s="17">
        <f t="shared" si="6"/>
        <v>0.54</v>
      </c>
      <c r="O25" s="22">
        <f t="shared" si="1"/>
        <v>110</v>
      </c>
      <c r="P25" s="23">
        <v>110</v>
      </c>
      <c r="Q25" s="24">
        <v>0.19</v>
      </c>
      <c r="R25" s="25">
        <v>0</v>
      </c>
      <c r="S25" s="23" t="s">
        <v>65</v>
      </c>
      <c r="T25" s="26">
        <f t="shared" si="7"/>
        <v>20.9</v>
      </c>
      <c r="U25" s="18">
        <f t="shared" si="2"/>
        <v>1100</v>
      </c>
      <c r="V25" s="6">
        <v>1100</v>
      </c>
      <c r="W25" s="7">
        <v>0.19</v>
      </c>
      <c r="X25" s="8">
        <v>0</v>
      </c>
      <c r="Y25" s="6" t="s">
        <v>65</v>
      </c>
      <c r="Z25" s="8">
        <f t="shared" si="8"/>
        <v>209</v>
      </c>
    </row>
    <row r="26" spans="1:26" ht="30" x14ac:dyDescent="0.25">
      <c r="A26" s="6" t="s">
        <v>226</v>
      </c>
      <c r="B26" s="6">
        <v>3</v>
      </c>
      <c r="C26" s="6" t="s">
        <v>135</v>
      </c>
      <c r="D26" s="6" t="s">
        <v>106</v>
      </c>
      <c r="E26" s="6" t="s">
        <v>136</v>
      </c>
      <c r="F26" s="6" t="s">
        <v>24</v>
      </c>
      <c r="G26" s="6" t="s">
        <v>137</v>
      </c>
      <c r="H26" s="28" t="s">
        <v>26</v>
      </c>
      <c r="I26" s="18">
        <f t="shared" si="0"/>
        <v>4</v>
      </c>
      <c r="J26" s="6">
        <v>4</v>
      </c>
      <c r="K26" s="7">
        <v>0.49</v>
      </c>
      <c r="L26" s="8">
        <v>0</v>
      </c>
      <c r="M26" s="6" t="s">
        <v>27</v>
      </c>
      <c r="N26" s="17">
        <f t="shared" si="6"/>
        <v>1.96</v>
      </c>
      <c r="O26" s="22">
        <f t="shared" si="1"/>
        <v>330</v>
      </c>
      <c r="P26" s="23">
        <v>330</v>
      </c>
      <c r="Q26" s="24">
        <v>0.28089999999999998</v>
      </c>
      <c r="R26" s="25">
        <v>7</v>
      </c>
      <c r="S26" s="23" t="s">
        <v>28</v>
      </c>
      <c r="T26" s="26">
        <f t="shared" si="7"/>
        <v>99.696999999999989</v>
      </c>
      <c r="U26" s="18">
        <f t="shared" si="2"/>
        <v>3300</v>
      </c>
      <c r="V26" s="6">
        <v>4000</v>
      </c>
      <c r="W26" s="7">
        <v>0.19131000000000001</v>
      </c>
      <c r="X26" s="8">
        <v>0</v>
      </c>
      <c r="Y26" s="6" t="s">
        <v>103</v>
      </c>
      <c r="Z26" s="8">
        <f t="shared" si="8"/>
        <v>765.24</v>
      </c>
    </row>
    <row r="27" spans="1:26" ht="30" x14ac:dyDescent="0.25">
      <c r="A27" s="6" t="s">
        <v>158</v>
      </c>
      <c r="B27" s="6">
        <v>1</v>
      </c>
      <c r="C27" s="6" t="s">
        <v>159</v>
      </c>
      <c r="D27" s="6" t="s">
        <v>151</v>
      </c>
      <c r="E27" s="6" t="s">
        <v>160</v>
      </c>
      <c r="F27" s="6" t="s">
        <v>24</v>
      </c>
      <c r="G27" s="6" t="s">
        <v>161</v>
      </c>
      <c r="H27" s="28" t="s">
        <v>26</v>
      </c>
      <c r="I27" s="18">
        <f t="shared" si="0"/>
        <v>2</v>
      </c>
      <c r="J27" s="6">
        <v>2</v>
      </c>
      <c r="K27" s="7">
        <v>2.71</v>
      </c>
      <c r="L27" s="8">
        <v>0</v>
      </c>
      <c r="M27" s="6" t="s">
        <v>27</v>
      </c>
      <c r="N27" s="17">
        <f t="shared" si="6"/>
        <v>5.42</v>
      </c>
      <c r="O27" s="22">
        <f t="shared" si="1"/>
        <v>110</v>
      </c>
      <c r="P27" s="23">
        <v>110</v>
      </c>
      <c r="Q27" s="24">
        <v>1.6484000000000001</v>
      </c>
      <c r="R27" s="25">
        <v>7</v>
      </c>
      <c r="S27" s="23" t="s">
        <v>28</v>
      </c>
      <c r="T27" s="26">
        <f t="shared" si="7"/>
        <v>188.32400000000001</v>
      </c>
      <c r="U27" s="18">
        <f t="shared" si="2"/>
        <v>1100</v>
      </c>
      <c r="V27" s="6">
        <v>1100</v>
      </c>
      <c r="W27" s="7">
        <v>1.43208</v>
      </c>
      <c r="X27" s="8">
        <v>7</v>
      </c>
      <c r="Y27" s="6" t="s">
        <v>28</v>
      </c>
      <c r="Z27" s="8">
        <f t="shared" si="8"/>
        <v>1582.288</v>
      </c>
    </row>
    <row r="28" spans="1:26" ht="30" x14ac:dyDescent="0.25">
      <c r="A28" s="6" t="s">
        <v>227</v>
      </c>
      <c r="B28" s="6">
        <v>1</v>
      </c>
      <c r="C28" s="6" t="s">
        <v>228</v>
      </c>
      <c r="D28" s="6" t="s">
        <v>229</v>
      </c>
      <c r="E28" s="6" t="s">
        <v>230</v>
      </c>
      <c r="F28" s="6" t="s">
        <v>34</v>
      </c>
      <c r="G28" s="6" t="s">
        <v>231</v>
      </c>
      <c r="H28" s="28" t="s">
        <v>26</v>
      </c>
      <c r="I28" s="18">
        <f t="shared" si="0"/>
        <v>2</v>
      </c>
      <c r="J28" s="6">
        <v>2</v>
      </c>
      <c r="K28" s="7">
        <v>3.98</v>
      </c>
      <c r="L28" s="8">
        <v>0</v>
      </c>
      <c r="M28" s="6" t="s">
        <v>27</v>
      </c>
      <c r="N28" s="17">
        <f t="shared" si="6"/>
        <v>7.96</v>
      </c>
      <c r="O28" s="22">
        <f t="shared" si="1"/>
        <v>110</v>
      </c>
      <c r="P28" s="23">
        <v>110</v>
      </c>
      <c r="Q28" s="24">
        <v>2.4900000000000002</v>
      </c>
      <c r="R28" s="25">
        <v>7</v>
      </c>
      <c r="S28" s="23" t="s">
        <v>36</v>
      </c>
      <c r="T28" s="26">
        <f t="shared" si="7"/>
        <v>280.90000000000003</v>
      </c>
      <c r="U28" s="18">
        <f t="shared" si="2"/>
        <v>1100</v>
      </c>
      <c r="V28" s="6">
        <v>1100</v>
      </c>
      <c r="W28" s="7">
        <v>2.19</v>
      </c>
      <c r="X28" s="8">
        <v>7</v>
      </c>
      <c r="Y28" s="6" t="s">
        <v>36</v>
      </c>
      <c r="Z28" s="8">
        <f t="shared" si="8"/>
        <v>2416</v>
      </c>
    </row>
    <row r="29" spans="1:26" ht="30" x14ac:dyDescent="0.25">
      <c r="A29" s="6" t="s">
        <v>232</v>
      </c>
      <c r="B29" s="6">
        <v>1</v>
      </c>
      <c r="C29" s="6" t="s">
        <v>233</v>
      </c>
      <c r="D29" s="6" t="s">
        <v>234</v>
      </c>
      <c r="E29" s="6" t="s">
        <v>235</v>
      </c>
      <c r="F29" s="6" t="s">
        <v>24</v>
      </c>
      <c r="G29" s="6" t="s">
        <v>236</v>
      </c>
      <c r="H29" s="28" t="s">
        <v>26</v>
      </c>
      <c r="I29" s="18">
        <f t="shared" si="0"/>
        <v>2</v>
      </c>
      <c r="J29" s="6">
        <v>2</v>
      </c>
      <c r="K29" s="7">
        <v>0.59</v>
      </c>
      <c r="L29" s="8">
        <v>0</v>
      </c>
      <c r="M29" s="6" t="s">
        <v>27</v>
      </c>
      <c r="N29" s="17">
        <f t="shared" si="6"/>
        <v>1.18</v>
      </c>
      <c r="O29" s="22">
        <f t="shared" si="1"/>
        <v>110</v>
      </c>
      <c r="P29" s="23">
        <v>110</v>
      </c>
      <c r="Q29" s="24">
        <v>0.44369999999999998</v>
      </c>
      <c r="R29" s="25">
        <v>7</v>
      </c>
      <c r="S29" s="23" t="s">
        <v>28</v>
      </c>
      <c r="T29" s="26">
        <f t="shared" si="7"/>
        <v>55.806999999999995</v>
      </c>
      <c r="U29" s="18">
        <f t="shared" si="2"/>
        <v>1100</v>
      </c>
      <c r="V29" s="6">
        <v>1100</v>
      </c>
      <c r="W29" s="7">
        <v>0.38556000000000001</v>
      </c>
      <c r="X29" s="8">
        <v>7</v>
      </c>
      <c r="Y29" s="6" t="s">
        <v>28</v>
      </c>
      <c r="Z29" s="8">
        <f t="shared" si="8"/>
        <v>431.11600000000004</v>
      </c>
    </row>
    <row r="30" spans="1:26" x14ac:dyDescent="0.25">
      <c r="A30" s="9" t="s">
        <v>252</v>
      </c>
      <c r="B30" s="6"/>
      <c r="C30" s="6"/>
      <c r="D30" s="6"/>
      <c r="E30" s="6"/>
      <c r="F30" s="6"/>
      <c r="G30" s="6"/>
      <c r="H30" s="30"/>
      <c r="I30" s="31"/>
      <c r="J30" s="6"/>
      <c r="K30" s="7"/>
      <c r="L30" s="8"/>
      <c r="M30" s="9" t="s">
        <v>251</v>
      </c>
      <c r="N30" s="17">
        <v>122.19</v>
      </c>
      <c r="O30" s="22">
        <v>100</v>
      </c>
      <c r="P30" s="23">
        <v>100</v>
      </c>
      <c r="Q30" s="24"/>
      <c r="R30" s="25"/>
      <c r="S30" s="23" t="s">
        <v>249</v>
      </c>
      <c r="T30" s="26">
        <v>250.77</v>
      </c>
      <c r="U30" s="18">
        <v>1000</v>
      </c>
      <c r="V30" s="6">
        <v>1000</v>
      </c>
      <c r="W30" s="7"/>
      <c r="X30" s="8"/>
      <c r="Y30" s="6" t="s">
        <v>250</v>
      </c>
      <c r="Z30" s="8">
        <v>1402.23</v>
      </c>
    </row>
    <row r="31" spans="1:26" x14ac:dyDescent="0.25">
      <c r="A31" s="32" t="s">
        <v>253</v>
      </c>
      <c r="B31" s="33"/>
      <c r="C31" s="33"/>
      <c r="D31" s="33"/>
      <c r="E31" s="33"/>
      <c r="F31" s="33"/>
      <c r="G31" s="33"/>
      <c r="H31" s="33"/>
      <c r="I31" s="33"/>
      <c r="J31" s="33"/>
      <c r="K31" s="34"/>
      <c r="L31" s="34"/>
      <c r="M31" s="33"/>
      <c r="N31" s="21">
        <f>SUM(N6:N30)</f>
        <v>303.09199999999998</v>
      </c>
      <c r="O31" s="22"/>
      <c r="P31" s="23"/>
      <c r="Q31" s="25"/>
      <c r="R31" s="25"/>
      <c r="S31" s="23"/>
      <c r="T31" s="26">
        <f>SUM(T6:T30)</f>
        <v>14089.473800000002</v>
      </c>
      <c r="U31" s="18"/>
      <c r="V31" s="6"/>
      <c r="W31" s="8"/>
      <c r="X31" s="8"/>
      <c r="Y31" s="6"/>
      <c r="Z31" s="8">
        <f>SUM(Z6:Z30)</f>
        <v>136741.15700000006</v>
      </c>
    </row>
    <row r="32" spans="1:26" x14ac:dyDescent="0.25">
      <c r="A32" s="32" t="s">
        <v>254</v>
      </c>
      <c r="B32" s="33"/>
      <c r="C32" s="33"/>
      <c r="D32" s="33"/>
      <c r="E32" s="33"/>
      <c r="F32" s="33"/>
      <c r="G32" s="33"/>
      <c r="H32" s="33"/>
      <c r="I32" s="33"/>
      <c r="J32" s="33"/>
      <c r="K32" s="34"/>
      <c r="L32" s="34"/>
      <c r="M32" s="33"/>
      <c r="N32" s="21">
        <f>N31/1</f>
        <v>303.09199999999998</v>
      </c>
      <c r="O32" s="22"/>
      <c r="P32" s="23"/>
      <c r="Q32" s="25"/>
      <c r="R32" s="25"/>
      <c r="S32" s="23"/>
      <c r="T32" s="26">
        <f>T31/100</f>
        <v>140.89473800000002</v>
      </c>
      <c r="U32" s="18"/>
      <c r="V32" s="6"/>
      <c r="W32" s="8"/>
      <c r="X32" s="8"/>
      <c r="Y32" s="6"/>
      <c r="Z32" s="8">
        <f>Z31/1000</f>
        <v>136.74115700000007</v>
      </c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5.95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</sheetData>
  <mergeCells count="8">
    <mergeCell ref="A31:M31"/>
    <mergeCell ref="A32:M32"/>
    <mergeCell ref="A35:Z35"/>
    <mergeCell ref="A1:Z1"/>
    <mergeCell ref="A4:H4"/>
    <mergeCell ref="I4:N4"/>
    <mergeCell ref="O4:T4"/>
    <mergeCell ref="U4:Z4"/>
  </mergeCells>
  <hyperlinks>
    <hyperlink ref="G8" r:id="rId1" xr:uid="{C04D7ACD-BAA6-4727-8FB7-24E4AA4C4D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70" zoomScaleNormal="70" workbookViewId="0">
      <selection activeCell="G8" sqref="A3:G8"/>
    </sheetView>
  </sheetViews>
  <sheetFormatPr defaultRowHeight="15" x14ac:dyDescent="0.25"/>
  <cols>
    <col min="1" max="1" width="15" customWidth="1"/>
    <col min="2" max="3" width="18" customWidth="1"/>
    <col min="4" max="5" width="21" customWidth="1"/>
    <col min="6" max="7" width="22" customWidth="1"/>
  </cols>
  <sheetData>
    <row r="1" spans="1:7" ht="21" x14ac:dyDescent="0.25">
      <c r="A1" s="37" t="s">
        <v>237</v>
      </c>
      <c r="B1" s="38"/>
      <c r="C1" s="38"/>
      <c r="D1" s="38"/>
      <c r="E1" s="38"/>
      <c r="F1" s="38"/>
      <c r="G1" s="38"/>
    </row>
    <row r="3" spans="1:7" ht="30" x14ac:dyDescent="0.25">
      <c r="A3" s="2" t="s">
        <v>238</v>
      </c>
      <c r="B3" s="2" t="s">
        <v>239</v>
      </c>
      <c r="C3" s="2" t="s">
        <v>257</v>
      </c>
      <c r="D3" s="2" t="s">
        <v>258</v>
      </c>
      <c r="E3" s="2" t="s">
        <v>259</v>
      </c>
      <c r="F3" s="2" t="s">
        <v>255</v>
      </c>
      <c r="G3" s="2" t="s">
        <v>256</v>
      </c>
    </row>
    <row r="4" spans="1:7" x14ac:dyDescent="0.25">
      <c r="A4">
        <v>1</v>
      </c>
      <c r="B4" s="3">
        <f>'Sensor BOM &amp; Cost'!N35</f>
        <v>715.93399999999997</v>
      </c>
      <c r="C4" s="3">
        <f>B4/A4</f>
        <v>715.93399999999997</v>
      </c>
      <c r="D4" s="3">
        <f>'Shield BOM &amp; Cost'!N31</f>
        <v>303.09199999999998</v>
      </c>
      <c r="E4" s="3">
        <f>D4/A4</f>
        <v>303.09199999999998</v>
      </c>
      <c r="F4" s="3">
        <f>B4+D4</f>
        <v>1019.026</v>
      </c>
      <c r="G4" s="3">
        <f>F4/A4</f>
        <v>1019.026</v>
      </c>
    </row>
    <row r="5" spans="1:7" x14ac:dyDescent="0.25">
      <c r="A5">
        <v>100</v>
      </c>
      <c r="B5" s="3">
        <f>'Sensor BOM &amp; Cost'!T35</f>
        <v>15492.236000000003</v>
      </c>
      <c r="C5" s="3">
        <f>B5/A5</f>
        <v>154.92236000000003</v>
      </c>
      <c r="D5" s="3">
        <f>'Shield BOM &amp; Cost'!T31</f>
        <v>14089.473800000002</v>
      </c>
      <c r="E5" s="3">
        <f>D5/A5</f>
        <v>140.89473800000002</v>
      </c>
      <c r="F5" s="3">
        <f>B5+D5</f>
        <v>29581.709800000004</v>
      </c>
      <c r="G5" s="3">
        <f>F5/A5</f>
        <v>295.81709800000004</v>
      </c>
    </row>
    <row r="6" spans="1:7" x14ac:dyDescent="0.25">
      <c r="A6">
        <v>1000</v>
      </c>
      <c r="B6" s="3">
        <f>'Sensor BOM &amp; Cost'!Z35</f>
        <v>140648.45400000003</v>
      </c>
      <c r="C6" s="3">
        <f>B6/A6</f>
        <v>140.64845400000002</v>
      </c>
      <c r="D6" s="3">
        <f>'Shield BOM &amp; Cost'!Z31</f>
        <v>136741.15700000006</v>
      </c>
      <c r="E6" s="3">
        <f>D6/A6</f>
        <v>136.74115700000007</v>
      </c>
      <c r="F6" s="3">
        <f>B6+D6</f>
        <v>277389.61100000009</v>
      </c>
      <c r="G6" s="3">
        <f>F6/A6</f>
        <v>277.38961100000012</v>
      </c>
    </row>
    <row r="8" spans="1:7" ht="54" customHeight="1" x14ac:dyDescent="0.25"/>
    <row r="11" spans="1:7" ht="35.1" customHeight="1" x14ac:dyDescent="0.25"/>
    <row r="12" spans="1:7" ht="35.1" customHeight="1" x14ac:dyDescent="0.25"/>
    <row r="13" spans="1:7" ht="35.1" customHeight="1" x14ac:dyDescent="0.25"/>
    <row r="14" spans="1:7" ht="35.1" customHeight="1" x14ac:dyDescent="0.25"/>
    <row r="15" spans="1:7" ht="35.1" customHeight="1" x14ac:dyDescent="0.25"/>
    <row r="16" spans="1:7" ht="35.1" customHeight="1" x14ac:dyDescent="0.2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 BOM &amp; Cost</vt:lpstr>
      <vt:lpstr>Shield BOM &amp; Cost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Capotosto, Michael</cp:lastModifiedBy>
  <dcterms:created xsi:type="dcterms:W3CDTF">2026-10-03T19:45:14Z</dcterms:created>
  <dcterms:modified xsi:type="dcterms:W3CDTF">2026-10-03T20:16:29Z</dcterms:modified>
</cp:coreProperties>
</file>