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okhavenlab-my.sharepoint.com/personal/capotosto_bnl_gov/Documents/Capstone/hardware/Isolated Multi-Rail Power Supply Monitor Arduino Shield Board/"/>
    </mc:Choice>
  </mc:AlternateContent>
  <xr:revisionPtr revIDLastSave="144" documentId="8_{86F349B2-AB83-4C24-BA25-4F3AF3494990}" xr6:coauthVersionLast="47" xr6:coauthVersionMax="47" xr10:uidLastSave="{1E459461-C8E5-45DE-A216-823D9C04FF3B}"/>
  <bookViews>
    <workbookView xWindow="29610" yWindow="-120" windowWidth="28110" windowHeight="16440" xr2:uid="{6506FB2C-BC98-4F8D-83FB-5539C796976A}"/>
  </bookViews>
  <sheets>
    <sheet name="Isolated Multi-Rail Power Suppl" sheetId="1" r:id="rId1"/>
  </sheets>
  <definedNames>
    <definedName name="_xlnm.Print_Area" localSheetId="0">'Isolated Multi-Rail Power Suppl'!$A$1:$K$40</definedName>
  </definedNames>
  <calcPr calcId="0"/>
</workbook>
</file>

<file path=xl/calcChain.xml><?xml version="1.0" encoding="utf-8"?>
<calcChain xmlns="http://schemas.openxmlformats.org/spreadsheetml/2006/main">
  <c r="K40" i="1" l="1"/>
  <c r="K38" i="1"/>
  <c r="K39" i="1"/>
  <c r="K37" i="1"/>
  <c r="I31" i="1"/>
  <c r="I32" i="1"/>
  <c r="I33" i="1"/>
  <c r="I34" i="1"/>
  <c r="I35" i="1"/>
  <c r="K18" i="1"/>
  <c r="K1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6" i="1"/>
  <c r="I37" i="1"/>
  <c r="I38" i="1"/>
  <c r="I39" i="1"/>
  <c r="I3" i="1"/>
</calcChain>
</file>

<file path=xl/sharedStrings.xml><?xml version="1.0" encoding="utf-8"?>
<sst xmlns="http://schemas.openxmlformats.org/spreadsheetml/2006/main" count="227" uniqueCount="152">
  <si>
    <t>Reference</t>
  </si>
  <si>
    <t>Value</t>
  </si>
  <si>
    <t>MPN</t>
  </si>
  <si>
    <t>Manufacturer</t>
  </si>
  <si>
    <t>DPN</t>
  </si>
  <si>
    <t>Distributor</t>
  </si>
  <si>
    <t>A201</t>
  </si>
  <si>
    <t>Arduino_Giga_R1_WiFi</t>
  </si>
  <si>
    <t>ABX00063</t>
  </si>
  <si>
    <t>Arduino</t>
  </si>
  <si>
    <t>1050-ABX00063-ND</t>
  </si>
  <si>
    <t>Digikey</t>
  </si>
  <si>
    <t>C6</t>
  </si>
  <si>
    <t>22n</t>
  </si>
  <si>
    <t>GRM155R71H222KA01D</t>
  </si>
  <si>
    <t>Murata Electronics</t>
  </si>
  <si>
    <t>490-1305-6-ND</t>
  </si>
  <si>
    <t>C7,C8</t>
  </si>
  <si>
    <t>10u</t>
  </si>
  <si>
    <t>C2012X7S1E106K125AC</t>
  </si>
  <si>
    <t>TDK</t>
  </si>
  <si>
    <t>445-181600-6-ND</t>
  </si>
  <si>
    <t>C9</t>
  </si>
  <si>
    <t>470n</t>
  </si>
  <si>
    <t>C1005X5R1E474K050BB</t>
  </si>
  <si>
    <t>445-8020-6-ND</t>
  </si>
  <si>
    <t>C10,C13,C16,C19,C20</t>
  </si>
  <si>
    <t>22u</t>
  </si>
  <si>
    <t>GMC21X7S226M10NT</t>
  </si>
  <si>
    <t>Cal-Chip Electronics, Inc.</t>
  </si>
  <si>
    <t>4713-GMC21X7S226M10NTDKR-ND</t>
  </si>
  <si>
    <t>C17,C201,C202,C203,C211,C215,C216,C217,C220,C221,C223,C224,C225,C227</t>
  </si>
  <si>
    <t>100n</t>
  </si>
  <si>
    <t>GRM155R61H104KE14D</t>
  </si>
  <si>
    <t>490-10697-6-ND</t>
  </si>
  <si>
    <t>C218</t>
  </si>
  <si>
    <t>3u3</t>
  </si>
  <si>
    <t>C219</t>
  </si>
  <si>
    <t>1n</t>
  </si>
  <si>
    <t>1206GC102KAT1A</t>
  </si>
  <si>
    <t>KYOCERA AVX</t>
  </si>
  <si>
    <t>478-2956-6-ND</t>
  </si>
  <si>
    <t>C222,C226</t>
  </si>
  <si>
    <t>18p</t>
  </si>
  <si>
    <t>GRM1555C1H180JA01D</t>
  </si>
  <si>
    <t>490-5858-6-ND</t>
  </si>
  <si>
    <t>FB1</t>
  </si>
  <si>
    <t>10n</t>
  </si>
  <si>
    <t>BLE18PS080SN1D</t>
  </si>
  <si>
    <t>490-BLE18PS080SN1DDKR-ND</t>
  </si>
  <si>
    <t>FB201,FB202,FB203</t>
  </si>
  <si>
    <t>120R</t>
  </si>
  <si>
    <t>J201</t>
  </si>
  <si>
    <t>SI-46014-F</t>
  </si>
  <si>
    <t>Bel Fuse Inc.</t>
  </si>
  <si>
    <t>5923-SI-46014-F-ND</t>
  </si>
  <si>
    <t>J309</t>
  </si>
  <si>
    <t>0039289088</t>
  </si>
  <si>
    <t>Molex</t>
  </si>
  <si>
    <t>WM3835-ND</t>
  </si>
  <si>
    <t>L1</t>
  </si>
  <si>
    <t>2u2</t>
  </si>
  <si>
    <t>Wurth Elektronik</t>
  </si>
  <si>
    <t>732-8232-6-ND</t>
  </si>
  <si>
    <t>N101</t>
  </si>
  <si>
    <t>Giga_Display</t>
  </si>
  <si>
    <t>ASX00039</t>
  </si>
  <si>
    <t>1050-ASX00039-ND</t>
  </si>
  <si>
    <t>N201</t>
  </si>
  <si>
    <t>Connector_Set</t>
  </si>
  <si>
    <t>Adafruit Industries</t>
  </si>
  <si>
    <t>1528-1074-ND</t>
  </si>
  <si>
    <t>R21</t>
  </si>
  <si>
    <t>0R</t>
  </si>
  <si>
    <t>ERJ-2RKF4701X</t>
  </si>
  <si>
    <t>Panasonic Industry</t>
  </si>
  <si>
    <t>P4.70KLDKR-ND</t>
  </si>
  <si>
    <t>R23,R24,R205,R206,R207</t>
  </si>
  <si>
    <t>4k7</t>
  </si>
  <si>
    <t>R25</t>
  </si>
  <si>
    <t>15k2</t>
  </si>
  <si>
    <t>R26</t>
  </si>
  <si>
    <t>4k87</t>
  </si>
  <si>
    <t>R31,R32</t>
  </si>
  <si>
    <t>R101,R102,R103,R104,R105</t>
  </si>
  <si>
    <t>10k</t>
  </si>
  <si>
    <t>R208</t>
  </si>
  <si>
    <t>12k3</t>
  </si>
  <si>
    <t>RN73R1ETTP1232B25</t>
  </si>
  <si>
    <t>KOA Speer Electronics, Inc.</t>
  </si>
  <si>
    <t>2019-RN73R1ETTP1232B25DKR-ND</t>
  </si>
  <si>
    <t>R209,R210,R215,R216</t>
  </si>
  <si>
    <t>49R9</t>
  </si>
  <si>
    <t>CRCW040249R9FKED</t>
  </si>
  <si>
    <t>Vishay Dale</t>
  </si>
  <si>
    <t>541-49.9LDKR-ND</t>
  </si>
  <si>
    <t>R211,R212,R213,R214</t>
  </si>
  <si>
    <t>3R3</t>
  </si>
  <si>
    <t>CRCW04023R30FKED</t>
  </si>
  <si>
    <t>541-3.30LLDKR-ND</t>
  </si>
  <si>
    <t>R217</t>
  </si>
  <si>
    <t>1M</t>
  </si>
  <si>
    <t>CRCW04021M00FKED</t>
  </si>
  <si>
    <t>541-1.00MLDKR-ND</t>
  </si>
  <si>
    <t>R218,R219</t>
  </si>
  <si>
    <t>470R</t>
  </si>
  <si>
    <t>ERJ-2RKF4700X</t>
  </si>
  <si>
    <t>P470LDKR-ND</t>
  </si>
  <si>
    <t>R220</t>
  </si>
  <si>
    <t>CRCW04020000Z0ED</t>
  </si>
  <si>
    <t>541-0.0JDKR-ND</t>
  </si>
  <si>
    <t>TP201,TP202,TP203</t>
  </si>
  <si>
    <t>U4</t>
  </si>
  <si>
    <t>TPS62912</t>
  </si>
  <si>
    <t>U7</t>
  </si>
  <si>
    <t>P82715DR</t>
  </si>
  <si>
    <t>P82B715DR</t>
  </si>
  <si>
    <t>296-24729-6-ND</t>
  </si>
  <si>
    <t>U202</t>
  </si>
  <si>
    <t>W6100-Q</t>
  </si>
  <si>
    <t>W6100Q</t>
  </si>
  <si>
    <t>WIZnet</t>
  </si>
  <si>
    <t>950-W6100Q</t>
  </si>
  <si>
    <t>Y201</t>
  </si>
  <si>
    <t>25MHz</t>
  </si>
  <si>
    <t>FL2500169</t>
  </si>
  <si>
    <t>Diodes Incorporated</t>
  </si>
  <si>
    <t>31-FL2500169DKR-ND</t>
  </si>
  <si>
    <t>BOM: Arduino Shield Board</t>
  </si>
  <si>
    <t>Production Quantity:</t>
  </si>
  <si>
    <t>Tape and Reel/Reeling Fees Allowable?</t>
  </si>
  <si>
    <t>No</t>
  </si>
  <si>
    <t>Order Qty</t>
  </si>
  <si>
    <t>Extended Price</t>
  </si>
  <si>
    <t>Qty</t>
  </si>
  <si>
    <t>Add 10% spares for components excluding modules</t>
  </si>
  <si>
    <t>553-BBUP00160805121Y00CT-ND</t>
  </si>
  <si>
    <t>Pulse Electronics</t>
  </si>
  <si>
    <t>BBUP00160805121Y00</t>
  </si>
  <si>
    <t>Qty+10%</t>
  </si>
  <si>
    <t>DNP</t>
  </si>
  <si>
    <t>CRCW04024K70FKED</t>
  </si>
  <si>
    <t>541-4.70KLCT-ND</t>
  </si>
  <si>
    <t>TP1,TP3</t>
  </si>
  <si>
    <t>Keystone</t>
  </si>
  <si>
    <t>36-5000-ND</t>
  </si>
  <si>
    <t>TP2</t>
  </si>
  <si>
    <t>36-5001-ND</t>
  </si>
  <si>
    <t>TP101</t>
  </si>
  <si>
    <t>TP102</t>
  </si>
  <si>
    <t>36-5015CT-ND</t>
  </si>
  <si>
    <t>TOTAL COST: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</si>
</sst>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14" fillId="0" borderId="0" xfId="0" applyFont="1" applyAlignment="1">
      <alignment wrapText="1"/>
    </xf>
    <xf numFmtId="0" fontId="14" fillId="0" borderId="0" xfId="0" applyFont="1"/>
    <xf numFmtId="0" fontId="14" fillId="0" borderId="0" xfId="0" applyFont="1" applyAlignment="1">
      <alignment horizontal="left"/>
    </xf>
    <xf numFmtId="1" fontId="14" fillId="0" borderId="0" xfId="0" applyNumberFormat="1" applyFont="1"/>
    <xf numFmtId="164" fontId="14" fillId="0" borderId="0" xfId="0" applyNumberFormat="1" applyFont="1"/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&quot;$&quot;#,##0.00"/>
    </dxf>
    <dxf>
      <numFmt numFmtId="1" formatCode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6738B-D9EE-433C-8028-E349BF32A4E1}" name="Table1" displayName="Table1" ref="A2:K40" totalsRowShown="0">
  <autoFilter ref="A2:K40" xr:uid="{AA96738B-D9EE-433C-8028-E349BF32A4E1}"/>
  <tableColumns count="11">
    <tableColumn id="1" xr3:uid="{D11F913A-5E29-413E-8809-7BAED9698EA5}" name="Reference" dataDxfId="3"/>
    <tableColumn id="2" xr3:uid="{7B80E3C2-54A7-4057-AB65-983A961326F3}" name="Value"/>
    <tableColumn id="3" xr3:uid="{99E6BFF6-5330-489D-9172-1184C933083B}" name="DNP"/>
    <tableColumn id="4" xr3:uid="{8F1065C7-EE80-4089-9AA8-6FEF09259A27}" name="MPN"/>
    <tableColumn id="5" xr3:uid="{40D1ECEC-936C-4660-9422-226A98436E7C}" name="Manufacturer"/>
    <tableColumn id="6" xr3:uid="{3AF3D552-69BC-4C76-A0B2-C0918E5A30DA}" name="DPN"/>
    <tableColumn id="7" xr3:uid="{27053E06-90F0-4C80-A0E9-AF69558501E5}" name="Distributor"/>
    <tableColumn id="8" xr3:uid="{8C8898D7-0A5D-4274-AEBD-2D478D40B3AE}" name="Qty" dataDxfId="2"/>
    <tableColumn id="9" xr3:uid="{E833AA10-066E-4DE2-81D6-CD065C3274EC}" name="Qty+10%" dataDxfId="1"/>
    <tableColumn id="10" xr3:uid="{8F29A206-587C-4F8C-84C1-1A57992B4182}" name="Order Qty"/>
    <tableColumn id="11" xr3:uid="{E866E8CE-5324-44B9-BB29-8DC128FAA744}" name="Extended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F267-43FF-48ED-A2BE-5B3837F78C3F}">
  <sheetPr>
    <pageSetUpPr fitToPage="1"/>
  </sheetPr>
  <dimension ref="A1:L45"/>
  <sheetViews>
    <sheetView tabSelected="1" zoomScale="85" zoomScaleNormal="85" workbookViewId="0">
      <pane ySplit="2" topLeftCell="A3" activePane="bottomLeft" state="frozen"/>
      <selection pane="bottomLeft" activeCell="M39" sqref="M39"/>
    </sheetView>
  </sheetViews>
  <sheetFormatPr defaultRowHeight="15" x14ac:dyDescent="0.25"/>
  <cols>
    <col min="1" max="1" width="24.28515625" customWidth="1"/>
    <col min="2" max="2" width="20.85546875" bestFit="1" customWidth="1"/>
    <col min="4" max="4" width="21.42578125" bestFit="1" customWidth="1"/>
    <col min="5" max="5" width="24.85546875" bestFit="1" customWidth="1"/>
    <col min="6" max="6" width="35.85546875" bestFit="1" customWidth="1"/>
    <col min="7" max="7" width="12.140625" customWidth="1"/>
    <col min="8" max="8" width="6" style="3" customWidth="1"/>
    <col min="9" max="9" width="10.5703125" style="4" customWidth="1"/>
    <col min="10" max="10" width="11.140625" customWidth="1"/>
    <col min="11" max="11" width="15.28515625" customWidth="1"/>
  </cols>
  <sheetData>
    <row r="1" spans="1:11" x14ac:dyDescent="0.25">
      <c r="A1" t="s">
        <v>128</v>
      </c>
      <c r="C1" t="s">
        <v>129</v>
      </c>
      <c r="D1">
        <v>1</v>
      </c>
      <c r="E1" t="s">
        <v>130</v>
      </c>
      <c r="F1" t="s">
        <v>131</v>
      </c>
      <c r="G1" s="4" t="s">
        <v>135</v>
      </c>
      <c r="I1"/>
    </row>
    <row r="2" spans="1:11" x14ac:dyDescent="0.25">
      <c r="A2" t="s">
        <v>0</v>
      </c>
      <c r="B2" t="s">
        <v>1</v>
      </c>
      <c r="C2" t="s">
        <v>140</v>
      </c>
      <c r="D2" t="s">
        <v>2</v>
      </c>
      <c r="E2" t="s">
        <v>3</v>
      </c>
      <c r="F2" t="s">
        <v>4</v>
      </c>
      <c r="G2" t="s">
        <v>5</v>
      </c>
      <c r="H2" s="3" t="s">
        <v>134</v>
      </c>
      <c r="I2" s="4" t="s">
        <v>139</v>
      </c>
      <c r="J2" t="s">
        <v>132</v>
      </c>
      <c r="K2" s="5" t="s">
        <v>133</v>
      </c>
    </row>
    <row r="3" spans="1:11" x14ac:dyDescent="0.25">
      <c r="A3" s="2" t="s">
        <v>6</v>
      </c>
      <c r="B3" t="s">
        <v>7</v>
      </c>
      <c r="D3" t="s">
        <v>8</v>
      </c>
      <c r="E3" t="s">
        <v>9</v>
      </c>
      <c r="F3" t="s">
        <v>10</v>
      </c>
      <c r="G3" t="s">
        <v>11</v>
      </c>
      <c r="H3" s="3">
        <v>1</v>
      </c>
      <c r="I3" s="4">
        <f>ROUNDUP((H3*$D$1*0.1)+(H3*$D$1),0)</f>
        <v>2</v>
      </c>
      <c r="J3">
        <v>1</v>
      </c>
      <c r="K3" s="5">
        <v>69.599999999999994</v>
      </c>
    </row>
    <row r="4" spans="1:11" x14ac:dyDescent="0.25">
      <c r="A4" s="6" t="s">
        <v>12</v>
      </c>
      <c r="B4" s="7" t="s">
        <v>13</v>
      </c>
      <c r="C4" s="7" t="s">
        <v>140</v>
      </c>
      <c r="D4" s="7" t="s">
        <v>14</v>
      </c>
      <c r="E4" s="7" t="s">
        <v>15</v>
      </c>
      <c r="F4" s="7" t="s">
        <v>16</v>
      </c>
      <c r="G4" s="7" t="s">
        <v>11</v>
      </c>
      <c r="H4" s="8">
        <v>1</v>
      </c>
      <c r="I4" s="9">
        <f>ROUNDUP((H4*$D$1*0.1)+(H4*$D$1),0)</f>
        <v>2</v>
      </c>
      <c r="J4" s="7">
        <v>0</v>
      </c>
      <c r="K4" s="10"/>
    </row>
    <row r="5" spans="1:11" x14ac:dyDescent="0.25">
      <c r="A5" s="6" t="s">
        <v>17</v>
      </c>
      <c r="B5" s="7" t="s">
        <v>18</v>
      </c>
      <c r="C5" s="7" t="s">
        <v>140</v>
      </c>
      <c r="D5" s="7" t="s">
        <v>19</v>
      </c>
      <c r="E5" s="7" t="s">
        <v>20</v>
      </c>
      <c r="F5" s="7" t="s">
        <v>21</v>
      </c>
      <c r="G5" s="7" t="s">
        <v>11</v>
      </c>
      <c r="H5" s="8">
        <v>2</v>
      </c>
      <c r="I5" s="9">
        <f>ROUNDUP((H5*$D$1*0.1)+(H5*$D$1),0)</f>
        <v>3</v>
      </c>
      <c r="J5" s="7">
        <v>0</v>
      </c>
      <c r="K5" s="10"/>
    </row>
    <row r="6" spans="1:11" x14ac:dyDescent="0.25">
      <c r="A6" s="6" t="s">
        <v>22</v>
      </c>
      <c r="B6" s="7" t="s">
        <v>23</v>
      </c>
      <c r="C6" s="7" t="s">
        <v>140</v>
      </c>
      <c r="D6" s="7" t="s">
        <v>24</v>
      </c>
      <c r="E6" s="7"/>
      <c r="F6" s="7" t="s">
        <v>25</v>
      </c>
      <c r="G6" s="7" t="s">
        <v>11</v>
      </c>
      <c r="H6" s="8">
        <v>1</v>
      </c>
      <c r="I6" s="9">
        <f>ROUNDUP((H6*$D$1*0.1)+(H6*$D$1),0)</f>
        <v>2</v>
      </c>
      <c r="J6" s="7">
        <v>0</v>
      </c>
      <c r="K6" s="10"/>
    </row>
    <row r="7" spans="1:11" x14ac:dyDescent="0.25">
      <c r="A7" s="6" t="s">
        <v>26</v>
      </c>
      <c r="B7" s="7" t="s">
        <v>27</v>
      </c>
      <c r="C7" s="7" t="s">
        <v>140</v>
      </c>
      <c r="D7" s="7" t="s">
        <v>28</v>
      </c>
      <c r="E7" s="7" t="s">
        <v>29</v>
      </c>
      <c r="F7" s="7" t="s">
        <v>30</v>
      </c>
      <c r="G7" s="7" t="s">
        <v>11</v>
      </c>
      <c r="H7" s="8">
        <v>5</v>
      </c>
      <c r="I7" s="9">
        <f>ROUNDUP((H7*$D$1*0.1)+(H7*$D$1),0)</f>
        <v>6</v>
      </c>
      <c r="J7" s="7">
        <v>0</v>
      </c>
      <c r="K7" s="10"/>
    </row>
    <row r="8" spans="1:11" ht="45" x14ac:dyDescent="0.25">
      <c r="A8" s="2" t="s">
        <v>31</v>
      </c>
      <c r="B8" t="s">
        <v>32</v>
      </c>
      <c r="D8" t="s">
        <v>33</v>
      </c>
      <c r="E8" t="s">
        <v>15</v>
      </c>
      <c r="F8" t="s">
        <v>34</v>
      </c>
      <c r="G8" t="s">
        <v>11</v>
      </c>
      <c r="H8" s="3">
        <v>14</v>
      </c>
      <c r="I8" s="4">
        <f>ROUNDUP((H8*$D$1*0.1)+(H8*$D$1),0)</f>
        <v>16</v>
      </c>
      <c r="J8">
        <v>100</v>
      </c>
      <c r="K8" s="5">
        <v>1.41</v>
      </c>
    </row>
    <row r="9" spans="1:11" x14ac:dyDescent="0.25">
      <c r="A9" s="2" t="s">
        <v>35</v>
      </c>
      <c r="B9" t="s">
        <v>36</v>
      </c>
      <c r="G9" t="s">
        <v>11</v>
      </c>
      <c r="H9" s="3">
        <v>1</v>
      </c>
      <c r="I9" s="4">
        <f>ROUNDUP((H9*$D$1*0.1)+(H9*$D$1),0)</f>
        <v>2</v>
      </c>
      <c r="K9" s="5"/>
    </row>
    <row r="10" spans="1:11" x14ac:dyDescent="0.25">
      <c r="A10" s="2" t="s">
        <v>37</v>
      </c>
      <c r="B10" t="s">
        <v>38</v>
      </c>
      <c r="D10" t="s">
        <v>39</v>
      </c>
      <c r="E10" t="s">
        <v>40</v>
      </c>
      <c r="F10" t="s">
        <v>41</v>
      </c>
      <c r="G10" t="s">
        <v>11</v>
      </c>
      <c r="H10" s="3">
        <v>1</v>
      </c>
      <c r="I10" s="4">
        <f>ROUNDUP((H10*$D$1*0.1)+(H10*$D$1),0)</f>
        <v>2</v>
      </c>
      <c r="J10">
        <v>10</v>
      </c>
      <c r="K10" s="5">
        <v>1.43</v>
      </c>
    </row>
    <row r="11" spans="1:11" x14ac:dyDescent="0.25">
      <c r="A11" s="2" t="s">
        <v>42</v>
      </c>
      <c r="B11" t="s">
        <v>43</v>
      </c>
      <c r="D11" t="s">
        <v>44</v>
      </c>
      <c r="E11" t="s">
        <v>15</v>
      </c>
      <c r="F11" t="s">
        <v>45</v>
      </c>
      <c r="G11" t="s">
        <v>11</v>
      </c>
      <c r="H11" s="3">
        <v>2</v>
      </c>
      <c r="I11" s="4">
        <f>ROUNDUP((H11*$D$1*0.1)+(H11*$D$1),0)</f>
        <v>3</v>
      </c>
      <c r="J11">
        <v>100</v>
      </c>
      <c r="K11" s="5">
        <v>1.43</v>
      </c>
    </row>
    <row r="12" spans="1:11" x14ac:dyDescent="0.25">
      <c r="A12" s="6" t="s">
        <v>46</v>
      </c>
      <c r="B12" s="7" t="s">
        <v>47</v>
      </c>
      <c r="C12" s="7" t="s">
        <v>140</v>
      </c>
      <c r="D12" s="7" t="s">
        <v>48</v>
      </c>
      <c r="E12" s="7" t="s">
        <v>15</v>
      </c>
      <c r="F12" s="7" t="s">
        <v>49</v>
      </c>
      <c r="G12" s="7" t="s">
        <v>11</v>
      </c>
      <c r="H12" s="8">
        <v>1</v>
      </c>
      <c r="I12" s="9">
        <f>ROUNDUP((H12*$D$1*0.1)+(H12*$D$1),0)</f>
        <v>2</v>
      </c>
      <c r="J12" s="7"/>
      <c r="K12" s="10"/>
    </row>
    <row r="13" spans="1:11" x14ac:dyDescent="0.25">
      <c r="A13" s="2" t="s">
        <v>50</v>
      </c>
      <c r="B13" t="s">
        <v>51</v>
      </c>
      <c r="D13" t="s">
        <v>138</v>
      </c>
      <c r="E13" t="s">
        <v>137</v>
      </c>
      <c r="F13" t="s">
        <v>136</v>
      </c>
      <c r="G13" t="s">
        <v>11</v>
      </c>
      <c r="H13" s="3">
        <v>3</v>
      </c>
      <c r="I13" s="4">
        <f>ROUNDUP((H13*$D$1*0.1)+(H13*$D$1),0)</f>
        <v>4</v>
      </c>
      <c r="J13">
        <v>25</v>
      </c>
      <c r="K13" s="5">
        <v>1.97</v>
      </c>
    </row>
    <row r="14" spans="1:11" x14ac:dyDescent="0.25">
      <c r="A14" s="2" t="s">
        <v>52</v>
      </c>
      <c r="B14" t="s">
        <v>53</v>
      </c>
      <c r="D14" t="s">
        <v>53</v>
      </c>
      <c r="E14" t="s">
        <v>54</v>
      </c>
      <c r="F14" t="s">
        <v>55</v>
      </c>
      <c r="G14" t="s">
        <v>11</v>
      </c>
      <c r="H14" s="3">
        <v>1</v>
      </c>
      <c r="I14" s="4">
        <f>ROUNDUP((H14*$D$1*0.1)+(H14*$D$1),0)</f>
        <v>2</v>
      </c>
      <c r="J14">
        <v>1</v>
      </c>
      <c r="K14" s="5">
        <v>5.81</v>
      </c>
    </row>
    <row r="15" spans="1:11" x14ac:dyDescent="0.25">
      <c r="A15" s="2" t="s">
        <v>56</v>
      </c>
      <c r="B15" s="1" t="s">
        <v>57</v>
      </c>
      <c r="D15" s="1" t="s">
        <v>57</v>
      </c>
      <c r="E15" t="s">
        <v>58</v>
      </c>
      <c r="F15" t="s">
        <v>59</v>
      </c>
      <c r="G15" t="s">
        <v>11</v>
      </c>
      <c r="H15" s="3">
        <v>1</v>
      </c>
      <c r="I15" s="4">
        <f>ROUNDUP((H15*$D$1*0.1)+(H15*$D$1),0)</f>
        <v>2</v>
      </c>
      <c r="J15">
        <v>1</v>
      </c>
      <c r="K15" s="5">
        <v>4.58</v>
      </c>
    </row>
    <row r="16" spans="1:11" s="7" customFormat="1" x14ac:dyDescent="0.25">
      <c r="A16" s="6" t="s">
        <v>60</v>
      </c>
      <c r="B16" s="7" t="s">
        <v>61</v>
      </c>
      <c r="C16" s="7" t="s">
        <v>140</v>
      </c>
      <c r="D16" s="7">
        <v>74438356022</v>
      </c>
      <c r="E16" s="7" t="s">
        <v>62</v>
      </c>
      <c r="F16" s="7" t="s">
        <v>63</v>
      </c>
      <c r="G16" s="7" t="s">
        <v>11</v>
      </c>
      <c r="H16" s="8">
        <v>1</v>
      </c>
      <c r="I16" s="9">
        <f>ROUNDUP((H16*$D$1*0.1)+(H16*$D$1),0)</f>
        <v>2</v>
      </c>
      <c r="J16" s="7">
        <v>3</v>
      </c>
      <c r="K16" s="10">
        <f>(3*1.94)</f>
        <v>5.82</v>
      </c>
    </row>
    <row r="17" spans="1:11" x14ac:dyDescent="0.25">
      <c r="A17" s="2" t="s">
        <v>64</v>
      </c>
      <c r="B17" t="s">
        <v>65</v>
      </c>
      <c r="D17" t="s">
        <v>66</v>
      </c>
      <c r="E17" t="s">
        <v>9</v>
      </c>
      <c r="F17" t="s">
        <v>67</v>
      </c>
      <c r="G17" t="s">
        <v>11</v>
      </c>
      <c r="H17" s="3">
        <v>1</v>
      </c>
      <c r="I17" s="4">
        <f>ROUNDUP((H17*$D$1*0.1)+(H17*$D$1),0)</f>
        <v>2</v>
      </c>
      <c r="J17">
        <v>1</v>
      </c>
      <c r="K17" s="5">
        <v>63.6</v>
      </c>
    </row>
    <row r="18" spans="1:11" x14ac:dyDescent="0.25">
      <c r="A18" s="2" t="s">
        <v>68</v>
      </c>
      <c r="B18" t="s">
        <v>69</v>
      </c>
      <c r="D18">
        <v>85</v>
      </c>
      <c r="E18" t="s">
        <v>70</v>
      </c>
      <c r="F18" t="s">
        <v>71</v>
      </c>
      <c r="G18" t="s">
        <v>11</v>
      </c>
      <c r="H18" s="3">
        <v>1</v>
      </c>
      <c r="I18" s="4">
        <f>ROUNDUP((H18*$D$1*0.1)+(H18*$D$1),0)</f>
        <v>2</v>
      </c>
      <c r="J18">
        <v>2</v>
      </c>
      <c r="K18" s="5">
        <f>1.95*2</f>
        <v>3.9</v>
      </c>
    </row>
    <row r="19" spans="1:11" s="7" customFormat="1" x14ac:dyDescent="0.25">
      <c r="A19" s="6" t="s">
        <v>72</v>
      </c>
      <c r="B19" s="7" t="s">
        <v>73</v>
      </c>
      <c r="C19" s="7" t="s">
        <v>140</v>
      </c>
      <c r="D19" s="7" t="s">
        <v>74</v>
      </c>
      <c r="E19" s="7" t="s">
        <v>75</v>
      </c>
      <c r="F19" s="7" t="s">
        <v>76</v>
      </c>
      <c r="G19" s="7" t="s">
        <v>11</v>
      </c>
      <c r="H19" s="8">
        <v>1</v>
      </c>
      <c r="I19" s="9">
        <f>ROUNDUP((H19*$D$1*0.1)+(H19*$D$1),0)</f>
        <v>2</v>
      </c>
      <c r="K19" s="10"/>
    </row>
    <row r="20" spans="1:11" x14ac:dyDescent="0.25">
      <c r="A20" s="2" t="s">
        <v>77</v>
      </c>
      <c r="B20" t="s">
        <v>78</v>
      </c>
      <c r="D20" t="s">
        <v>141</v>
      </c>
      <c r="E20" t="s">
        <v>94</v>
      </c>
      <c r="F20" t="s">
        <v>142</v>
      </c>
      <c r="G20" t="s">
        <v>11</v>
      </c>
      <c r="H20" s="3">
        <v>5</v>
      </c>
      <c r="I20" s="4">
        <f>ROUNDUP((H20*$D$1*0.1)+(H20*$D$1),0)</f>
        <v>6</v>
      </c>
      <c r="J20">
        <v>100</v>
      </c>
      <c r="K20" s="5">
        <v>1.57</v>
      </c>
    </row>
    <row r="21" spans="1:11" s="7" customFormat="1" x14ac:dyDescent="0.25">
      <c r="A21" s="6" t="s">
        <v>79</v>
      </c>
      <c r="B21" s="7" t="s">
        <v>80</v>
      </c>
      <c r="C21" s="7" t="s">
        <v>140</v>
      </c>
      <c r="D21" s="7" t="s">
        <v>74</v>
      </c>
      <c r="E21" s="7" t="s">
        <v>75</v>
      </c>
      <c r="F21" s="7" t="s">
        <v>76</v>
      </c>
      <c r="G21" s="7" t="s">
        <v>11</v>
      </c>
      <c r="H21" s="8">
        <v>1</v>
      </c>
      <c r="I21" s="9">
        <f>ROUNDUP((H21*$D$1*0.1)+(H21*$D$1),0)</f>
        <v>2</v>
      </c>
      <c r="K21" s="10"/>
    </row>
    <row r="22" spans="1:11" s="7" customFormat="1" x14ac:dyDescent="0.25">
      <c r="A22" s="6" t="s">
        <v>81</v>
      </c>
      <c r="B22" s="7" t="s">
        <v>82</v>
      </c>
      <c r="C22" s="7" t="s">
        <v>140</v>
      </c>
      <c r="D22" s="7" t="s">
        <v>74</v>
      </c>
      <c r="E22" s="7" t="s">
        <v>75</v>
      </c>
      <c r="F22" s="7" t="s">
        <v>76</v>
      </c>
      <c r="G22" s="7" t="s">
        <v>11</v>
      </c>
      <c r="H22" s="8">
        <v>1</v>
      </c>
      <c r="I22" s="9">
        <f>ROUNDUP((H22*$D$1*0.1)+(H22*$D$1),0)</f>
        <v>2</v>
      </c>
      <c r="K22" s="10"/>
    </row>
    <row r="23" spans="1:11" s="7" customFormat="1" x14ac:dyDescent="0.25">
      <c r="A23" s="6" t="s">
        <v>83</v>
      </c>
      <c r="B23" s="7" t="s">
        <v>78</v>
      </c>
      <c r="C23" s="7" t="s">
        <v>140</v>
      </c>
      <c r="D23" s="7" t="s">
        <v>74</v>
      </c>
      <c r="E23" s="7" t="s">
        <v>75</v>
      </c>
      <c r="F23" s="7" t="s">
        <v>76</v>
      </c>
      <c r="G23" s="7" t="s">
        <v>11</v>
      </c>
      <c r="H23" s="8">
        <v>2</v>
      </c>
      <c r="I23" s="9">
        <f>ROUNDUP((H23*$D$1*0.1)+(H23*$D$1),0)</f>
        <v>3</v>
      </c>
      <c r="K23" s="10"/>
    </row>
    <row r="24" spans="1:11" ht="30" x14ac:dyDescent="0.25">
      <c r="A24" s="2" t="s">
        <v>84</v>
      </c>
      <c r="B24" t="s">
        <v>85</v>
      </c>
      <c r="G24" t="s">
        <v>11</v>
      </c>
      <c r="H24" s="3">
        <v>5</v>
      </c>
      <c r="I24" s="4">
        <f>ROUNDUP((H24*$D$1*0.1)+(H24*$D$1),0)</f>
        <v>6</v>
      </c>
      <c r="K24" s="5"/>
    </row>
    <row r="25" spans="1:11" x14ac:dyDescent="0.25">
      <c r="A25" s="2" t="s">
        <v>86</v>
      </c>
      <c r="B25" t="s">
        <v>87</v>
      </c>
      <c r="D25" t="s">
        <v>88</v>
      </c>
      <c r="E25" t="s">
        <v>89</v>
      </c>
      <c r="F25" t="s">
        <v>90</v>
      </c>
      <c r="G25" t="s">
        <v>11</v>
      </c>
      <c r="H25" s="3">
        <v>1</v>
      </c>
      <c r="I25" s="4">
        <f>ROUNDUP((H25*$D$1*0.1)+(H25*$D$1),0)</f>
        <v>2</v>
      </c>
      <c r="J25">
        <v>50</v>
      </c>
      <c r="K25" s="5">
        <v>3.02</v>
      </c>
    </row>
    <row r="26" spans="1:11" x14ac:dyDescent="0.25">
      <c r="A26" s="2" t="s">
        <v>91</v>
      </c>
      <c r="B26" t="s">
        <v>92</v>
      </c>
      <c r="D26" t="s">
        <v>93</v>
      </c>
      <c r="E26" t="s">
        <v>94</v>
      </c>
      <c r="F26" t="s">
        <v>95</v>
      </c>
      <c r="G26" t="s">
        <v>11</v>
      </c>
      <c r="H26" s="3">
        <v>4</v>
      </c>
      <c r="I26" s="4">
        <f>ROUNDUP((H26*$D$1*0.1)+(H26*$D$1),0)</f>
        <v>5</v>
      </c>
      <c r="J26">
        <v>100</v>
      </c>
      <c r="K26" s="5">
        <v>1.57</v>
      </c>
    </row>
    <row r="27" spans="1:11" x14ac:dyDescent="0.25">
      <c r="A27" s="2" t="s">
        <v>96</v>
      </c>
      <c r="B27" t="s">
        <v>97</v>
      </c>
      <c r="D27" t="s">
        <v>98</v>
      </c>
      <c r="E27" t="s">
        <v>94</v>
      </c>
      <c r="F27" t="s">
        <v>99</v>
      </c>
      <c r="G27" t="s">
        <v>11</v>
      </c>
      <c r="H27" s="3">
        <v>4</v>
      </c>
      <c r="I27" s="4">
        <f>ROUNDUP((H27*$D$1*0.1)+(H27*$D$1),0)</f>
        <v>5</v>
      </c>
      <c r="J27">
        <v>100</v>
      </c>
      <c r="K27" s="5">
        <v>2.0299999999999998</v>
      </c>
    </row>
    <row r="28" spans="1:11" x14ac:dyDescent="0.25">
      <c r="A28" s="2" t="s">
        <v>100</v>
      </c>
      <c r="B28" t="s">
        <v>101</v>
      </c>
      <c r="D28" t="s">
        <v>102</v>
      </c>
      <c r="E28" t="s">
        <v>94</v>
      </c>
      <c r="F28" t="s">
        <v>103</v>
      </c>
      <c r="G28" t="s">
        <v>11</v>
      </c>
      <c r="H28" s="3">
        <v>1</v>
      </c>
      <c r="I28" s="4">
        <f>ROUNDUP((H28*$D$1*0.1)+(H28*$D$1),0)</f>
        <v>2</v>
      </c>
      <c r="J28">
        <v>100</v>
      </c>
      <c r="K28" s="5">
        <v>1.57</v>
      </c>
    </row>
    <row r="29" spans="1:11" x14ac:dyDescent="0.25">
      <c r="A29" s="2" t="s">
        <v>104</v>
      </c>
      <c r="B29" t="s">
        <v>105</v>
      </c>
      <c r="D29" t="s">
        <v>106</v>
      </c>
      <c r="E29" t="s">
        <v>75</v>
      </c>
      <c r="F29" t="s">
        <v>107</v>
      </c>
      <c r="G29" t="s">
        <v>11</v>
      </c>
      <c r="H29" s="3">
        <v>2</v>
      </c>
      <c r="I29" s="4">
        <f>ROUNDUP((H29*$D$1*0.1)+(H29*$D$1),0)</f>
        <v>3</v>
      </c>
      <c r="J29">
        <v>100</v>
      </c>
      <c r="K29" s="5">
        <v>1.64</v>
      </c>
    </row>
    <row r="30" spans="1:11" x14ac:dyDescent="0.25">
      <c r="A30" s="2" t="s">
        <v>108</v>
      </c>
      <c r="B30" t="s">
        <v>73</v>
      </c>
      <c r="D30" t="s">
        <v>109</v>
      </c>
      <c r="E30" t="s">
        <v>94</v>
      </c>
      <c r="F30" t="s">
        <v>110</v>
      </c>
      <c r="G30" t="s">
        <v>11</v>
      </c>
      <c r="H30" s="3">
        <v>1</v>
      </c>
      <c r="I30" s="4">
        <f>ROUNDUP((H30*$D$1*0.1)+(H30*$D$1),0)</f>
        <v>2</v>
      </c>
      <c r="J30">
        <v>100</v>
      </c>
      <c r="K30" s="5">
        <v>0.99</v>
      </c>
    </row>
    <row r="31" spans="1:11" s="7" customFormat="1" x14ac:dyDescent="0.25">
      <c r="A31" s="7" t="s">
        <v>143</v>
      </c>
      <c r="B31" s="7">
        <v>2</v>
      </c>
      <c r="C31" s="7" t="s">
        <v>140</v>
      </c>
      <c r="D31" s="7">
        <v>5000</v>
      </c>
      <c r="E31" s="7" t="s">
        <v>144</v>
      </c>
      <c r="F31" s="7" t="s">
        <v>145</v>
      </c>
      <c r="G31" s="7" t="s">
        <v>11</v>
      </c>
      <c r="H31" s="7">
        <v>2</v>
      </c>
      <c r="I31" s="9">
        <f t="shared" ref="I31:I35" si="0">ROUNDUP((H31*$D$1*0.1)+(H31*$D$1),0)</f>
        <v>3</v>
      </c>
    </row>
    <row r="32" spans="1:11" s="7" customFormat="1" x14ac:dyDescent="0.25">
      <c r="A32" s="7" t="s">
        <v>146</v>
      </c>
      <c r="B32" s="7">
        <v>1</v>
      </c>
      <c r="C32" s="7" t="s">
        <v>140</v>
      </c>
      <c r="D32" s="7">
        <v>5001</v>
      </c>
      <c r="E32" s="7" t="s">
        <v>144</v>
      </c>
      <c r="F32" s="7" t="s">
        <v>147</v>
      </c>
      <c r="G32" s="7" t="s">
        <v>11</v>
      </c>
      <c r="H32" s="7">
        <v>1</v>
      </c>
      <c r="I32" s="9">
        <f t="shared" si="0"/>
        <v>2</v>
      </c>
    </row>
    <row r="33" spans="1:12" x14ac:dyDescent="0.25">
      <c r="A33" t="s">
        <v>148</v>
      </c>
      <c r="B33">
        <v>1</v>
      </c>
      <c r="D33">
        <v>5000</v>
      </c>
      <c r="E33" t="s">
        <v>144</v>
      </c>
      <c r="F33" t="s">
        <v>145</v>
      </c>
      <c r="G33" t="s">
        <v>11</v>
      </c>
      <c r="H33">
        <v>1</v>
      </c>
      <c r="I33" s="4">
        <f t="shared" si="0"/>
        <v>2</v>
      </c>
      <c r="J33">
        <v>10</v>
      </c>
      <c r="K33" s="5">
        <v>2.04</v>
      </c>
    </row>
    <row r="34" spans="1:12" x14ac:dyDescent="0.25">
      <c r="A34" t="s">
        <v>149</v>
      </c>
      <c r="B34">
        <v>1</v>
      </c>
      <c r="D34">
        <v>5001</v>
      </c>
      <c r="E34" t="s">
        <v>144</v>
      </c>
      <c r="F34" t="s">
        <v>147</v>
      </c>
      <c r="G34" t="s">
        <v>11</v>
      </c>
      <c r="H34">
        <v>1</v>
      </c>
      <c r="I34" s="4">
        <f t="shared" si="0"/>
        <v>2</v>
      </c>
      <c r="J34">
        <v>10</v>
      </c>
      <c r="K34" s="5">
        <v>2.0299999999999998</v>
      </c>
    </row>
    <row r="35" spans="1:12" x14ac:dyDescent="0.25">
      <c r="A35" t="s">
        <v>111</v>
      </c>
      <c r="B35">
        <v>3</v>
      </c>
      <c r="D35">
        <v>5015</v>
      </c>
      <c r="E35" t="s">
        <v>144</v>
      </c>
      <c r="F35" t="s">
        <v>150</v>
      </c>
      <c r="G35" t="s">
        <v>11</v>
      </c>
      <c r="H35">
        <v>3</v>
      </c>
      <c r="I35" s="4">
        <f t="shared" si="0"/>
        <v>4</v>
      </c>
      <c r="J35">
        <v>10</v>
      </c>
      <c r="K35" s="5">
        <v>3.7</v>
      </c>
    </row>
    <row r="36" spans="1:12" x14ac:dyDescent="0.25">
      <c r="A36" s="6" t="s">
        <v>112</v>
      </c>
      <c r="B36" s="7" t="s">
        <v>113</v>
      </c>
      <c r="C36" s="7" t="s">
        <v>140</v>
      </c>
      <c r="D36" s="7"/>
      <c r="E36" s="7"/>
      <c r="F36" s="7"/>
      <c r="G36" s="7"/>
      <c r="H36" s="8">
        <v>1</v>
      </c>
      <c r="I36" s="9">
        <f>ROUNDUP((H36*$D$1*0.1)+(H36*$D$1),0)</f>
        <v>2</v>
      </c>
      <c r="J36" s="7"/>
      <c r="K36" s="10"/>
      <c r="L36" s="7"/>
    </row>
    <row r="37" spans="1:12" x14ac:dyDescent="0.25">
      <c r="A37" s="2" t="s">
        <v>114</v>
      </c>
      <c r="B37" t="s">
        <v>115</v>
      </c>
      <c r="D37" t="s">
        <v>116</v>
      </c>
      <c r="F37" t="s">
        <v>117</v>
      </c>
      <c r="H37" s="3">
        <v>1</v>
      </c>
      <c r="I37" s="4">
        <f>ROUNDUP((H37*$D$1*0.1)+(H37*$D$1),0)</f>
        <v>2</v>
      </c>
      <c r="J37">
        <v>2</v>
      </c>
      <c r="K37" s="5">
        <f>(2*2.71)</f>
        <v>5.42</v>
      </c>
    </row>
    <row r="38" spans="1:12" x14ac:dyDescent="0.25">
      <c r="A38" s="2" t="s">
        <v>118</v>
      </c>
      <c r="B38" t="s">
        <v>119</v>
      </c>
      <c r="D38" t="s">
        <v>120</v>
      </c>
      <c r="E38" t="s">
        <v>121</v>
      </c>
      <c r="F38" t="s">
        <v>122</v>
      </c>
      <c r="G38" t="s">
        <v>121</v>
      </c>
      <c r="H38" s="3">
        <v>1</v>
      </c>
      <c r="I38" s="4">
        <f>ROUNDUP((H38*$D$1*0.1)+(H38*$D$1),0)</f>
        <v>2</v>
      </c>
      <c r="J38">
        <v>2</v>
      </c>
      <c r="K38" s="5">
        <f>2*2.52</f>
        <v>5.04</v>
      </c>
    </row>
    <row r="39" spans="1:12" x14ac:dyDescent="0.25">
      <c r="A39" s="2" t="s">
        <v>123</v>
      </c>
      <c r="B39" t="s">
        <v>124</v>
      </c>
      <c r="D39" t="s">
        <v>125</v>
      </c>
      <c r="E39" t="s">
        <v>126</v>
      </c>
      <c r="F39" t="s">
        <v>127</v>
      </c>
      <c r="G39" t="s">
        <v>11</v>
      </c>
      <c r="H39" s="3">
        <v>1</v>
      </c>
      <c r="I39" s="4">
        <f>ROUNDUP((H39*$D$1*0.1)+(H39*$D$1),0)</f>
        <v>2</v>
      </c>
      <c r="J39">
        <v>2</v>
      </c>
      <c r="K39" s="5">
        <f>0.69*2</f>
        <v>1.38</v>
      </c>
    </row>
    <row r="40" spans="1:12" x14ac:dyDescent="0.25">
      <c r="J40" s="11" t="s">
        <v>151</v>
      </c>
      <c r="K40" s="12">
        <f>SUM(K3:K39)</f>
        <v>191.54999999999995</v>
      </c>
    </row>
    <row r="41" spans="1:12" x14ac:dyDescent="0.25">
      <c r="H41"/>
    </row>
    <row r="42" spans="1:12" x14ac:dyDescent="0.25">
      <c r="H42"/>
    </row>
    <row r="43" spans="1:12" x14ac:dyDescent="0.25">
      <c r="H43"/>
    </row>
    <row r="44" spans="1:12" x14ac:dyDescent="0.25">
      <c r="H44"/>
    </row>
    <row r="45" spans="1:12" x14ac:dyDescent="0.25">
      <c r="H45"/>
    </row>
  </sheetData>
  <pageMargins left="0.7" right="0.7" top="0.75" bottom="0.75" header="0.3" footer="0.3"/>
  <pageSetup paperSize="3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9561e60-dc75-4c28-a1c9-2e8d8870196b}" enabled="0" method="" siteId="{89561e60-dc75-4c28-a1c9-2e8d887019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Isolated Multi-Rail Power Suppl</vt:lpstr>
      <vt:lpstr>'Isolated Multi-Rail Power Suppl'!Print_Area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Capotosto, Michael</cp:lastModifiedBy>
  <cp:lastPrinted>2026-08-22T21:23:09Z</cp:lastPrinted>
  <dcterms:created xsi:type="dcterms:W3CDTF">2026-08-22T20:32:27Z</dcterms:created>
  <dcterms:modified xsi:type="dcterms:W3CDTF">2026-08-22T21:23:28Z</dcterms:modified>
</cp:coreProperties>
</file>