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okhavenlab-my.sharepoint.com/personal/capotosto_bnl_gov/Documents/Capstone/hardware/Isolated Multi-Rail Power Supply Monitor Sensor Board/"/>
    </mc:Choice>
  </mc:AlternateContent>
  <xr:revisionPtr revIDLastSave="98" documentId="8_{ED399958-EAC1-40BB-8D5B-235A10FC2717}" xr6:coauthVersionLast="47" xr6:coauthVersionMax="47" xr10:uidLastSave="{BD2FFB99-8B32-4DB7-B720-0B67E8E3495F}"/>
  <bookViews>
    <workbookView xWindow="29610" yWindow="-120" windowWidth="28110" windowHeight="16440" xr2:uid="{6506FB2C-BC98-4F8D-83FB-5539C796976A}"/>
  </bookViews>
  <sheets>
    <sheet name="Isolated Multi-Rail Power Suppl" sheetId="1" r:id="rId1"/>
  </sheets>
  <definedNames>
    <definedName name="_xlnm.Print_Area" localSheetId="0">'Isolated Multi-Rail Power Suppl'!$A$1:$K$40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K37" i="1"/>
  <c r="K36" i="1"/>
  <c r="I30" i="1"/>
  <c r="K24" i="1"/>
  <c r="K23" i="1"/>
  <c r="K20" i="1"/>
  <c r="K19" i="1"/>
  <c r="K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1" i="1"/>
  <c r="I32" i="1"/>
  <c r="I33" i="1"/>
  <c r="I34" i="1"/>
  <c r="I35" i="1"/>
  <c r="I36" i="1"/>
  <c r="I37" i="1"/>
  <c r="I38" i="1"/>
  <c r="I39" i="1"/>
  <c r="K40" i="1"/>
</calcChain>
</file>

<file path=xl/sharedStrings.xml><?xml version="1.0" encoding="utf-8"?>
<sst xmlns="http://schemas.openxmlformats.org/spreadsheetml/2006/main" count="221" uniqueCount="149">
  <si>
    <t>Reference</t>
  </si>
  <si>
    <t>Value</t>
  </si>
  <si>
    <t>MPN</t>
  </si>
  <si>
    <t>Manufacturer</t>
  </si>
  <si>
    <t>DPN</t>
  </si>
  <si>
    <t>Distributor</t>
  </si>
  <si>
    <t>Digikey</t>
  </si>
  <si>
    <t>C6</t>
  </si>
  <si>
    <t>22n</t>
  </si>
  <si>
    <t>GRM155R71H222KA01D</t>
  </si>
  <si>
    <t>Murata Electronics</t>
  </si>
  <si>
    <t>490-1305-6-ND</t>
  </si>
  <si>
    <t>C7,C8</t>
  </si>
  <si>
    <t>10u</t>
  </si>
  <si>
    <t>C2012X7S1E106K125AC</t>
  </si>
  <si>
    <t>TDK</t>
  </si>
  <si>
    <t>445-181600-6-ND</t>
  </si>
  <si>
    <t>C9</t>
  </si>
  <si>
    <t>470n</t>
  </si>
  <si>
    <t>C1005X5R1E474K050BB</t>
  </si>
  <si>
    <t>445-8020-6-ND</t>
  </si>
  <si>
    <t>C10,C13,C16,C19,C20</t>
  </si>
  <si>
    <t>22u</t>
  </si>
  <si>
    <t>GMC21X7S226M10NT</t>
  </si>
  <si>
    <t>Cal-Chip Electronics, Inc.</t>
  </si>
  <si>
    <t>4713-GMC21X7S226M10NTDKR-ND</t>
  </si>
  <si>
    <t>100n</t>
  </si>
  <si>
    <t>GRM155R61H104KE14D</t>
  </si>
  <si>
    <t>490-10697-6-ND</t>
  </si>
  <si>
    <t>FB1</t>
  </si>
  <si>
    <t>10n</t>
  </si>
  <si>
    <t>BLE18PS080SN1D</t>
  </si>
  <si>
    <t>490-BLE18PS080SN1DDKR-ND</t>
  </si>
  <si>
    <t>0039289088</t>
  </si>
  <si>
    <t>Molex</t>
  </si>
  <si>
    <t>WM3835-ND</t>
  </si>
  <si>
    <t>L1</t>
  </si>
  <si>
    <t>2u2</t>
  </si>
  <si>
    <t>Wurth Elektronik</t>
  </si>
  <si>
    <t>732-8232-6-ND</t>
  </si>
  <si>
    <t>R21</t>
  </si>
  <si>
    <t>0R</t>
  </si>
  <si>
    <t>Panasonic Industry</t>
  </si>
  <si>
    <t>4k7</t>
  </si>
  <si>
    <t>R25</t>
  </si>
  <si>
    <t>R26</t>
  </si>
  <si>
    <t>U4</t>
  </si>
  <si>
    <t>TPS62912</t>
  </si>
  <si>
    <t>U7</t>
  </si>
  <si>
    <t>P82715DR</t>
  </si>
  <si>
    <t>P82B715DR</t>
  </si>
  <si>
    <t>296-24729-6-ND</t>
  </si>
  <si>
    <t>Production Quantity:</t>
  </si>
  <si>
    <t>Tape and Reel/Reeling Fees Allowable?</t>
  </si>
  <si>
    <t>No</t>
  </si>
  <si>
    <t>Order Qty</t>
  </si>
  <si>
    <t>Extended Price</t>
  </si>
  <si>
    <t>Qty</t>
  </si>
  <si>
    <t>Add 10% spares for components excluding modules</t>
  </si>
  <si>
    <t>Qty+10%</t>
  </si>
  <si>
    <t>DNP</t>
  </si>
  <si>
    <t>CRCW04024K70FKED</t>
  </si>
  <si>
    <t>541-4.70KLCT-ND</t>
  </si>
  <si>
    <t>TP1,TP3</t>
  </si>
  <si>
    <t>Keystone</t>
  </si>
  <si>
    <t>TP2</t>
  </si>
  <si>
    <t>TOTAL COST:</t>
  </si>
  <si>
    <t>C1,C3,C21,C23,C26,C28,C31,C33,C36,C38,C41,C43</t>
  </si>
  <si>
    <t>1u</t>
  </si>
  <si>
    <t>CL10A105KB8NNNC</t>
  </si>
  <si>
    <t>Samsung Electro-Mechanics</t>
  </si>
  <si>
    <t>1276-1860-6-ND</t>
  </si>
  <si>
    <t>C2,C4,C5,C11,C12,C14,C15,C17,C22,C24,C25,C27,C29,C30,C32,C34,C35,C37,C39,C40,C42,C44,C45</t>
  </si>
  <si>
    <t>C18</t>
  </si>
  <si>
    <t>~</t>
  </si>
  <si>
    <t>H1,H2,H3,H4</t>
  </si>
  <si>
    <t>MountingHole_Pad</t>
  </si>
  <si>
    <t>J101</t>
  </si>
  <si>
    <t>+6VA</t>
  </si>
  <si>
    <t>0039299049</t>
  </si>
  <si>
    <t>WM14518-ND</t>
  </si>
  <si>
    <t>J102</t>
  </si>
  <si>
    <t>+6VB</t>
  </si>
  <si>
    <t>J103</t>
  </si>
  <si>
    <t>J104</t>
  </si>
  <si>
    <t>+/-15V</t>
  </si>
  <si>
    <t>J105</t>
  </si>
  <si>
    <t>+/-5V</t>
  </si>
  <si>
    <t>J106,J107</t>
  </si>
  <si>
    <t>0039289108</t>
  </si>
  <si>
    <t>23-0039289108-ND</t>
  </si>
  <si>
    <t>J108</t>
  </si>
  <si>
    <t>Conn_01x04</t>
  </si>
  <si>
    <t>Q1,Q2,Q3,Q4,Q5,Q6</t>
  </si>
  <si>
    <t>BS170F</t>
  </si>
  <si>
    <t>NTA7002NT1G</t>
  </si>
  <si>
    <t>onsemi</t>
  </si>
  <si>
    <t>NTA7002NT1GOSDKR-ND</t>
  </si>
  <si>
    <t>R2,R3,R4,R5,R14,R15,R16,R17</t>
  </si>
  <si>
    <t>Keystone Electronics</t>
  </si>
  <si>
    <t>36-5108DKR-ND</t>
  </si>
  <si>
    <t>R6,R12,R13,R33,R34,R35,R36,R37,R38,R39,R40,R41,R42,R43,R44,R45,R46,R47</t>
  </si>
  <si>
    <t>2k</t>
  </si>
  <si>
    <t>ERJ-2RKF2001X</t>
  </si>
  <si>
    <t>P2.00KLDKR-ND</t>
  </si>
  <si>
    <t>R7,R18</t>
  </si>
  <si>
    <t>39mR</t>
  </si>
  <si>
    <t>LVK20R039FER</t>
  </si>
  <si>
    <t>Ohmite</t>
  </si>
  <si>
    <t>273-LVK20R039FERDKR-ND</t>
  </si>
  <si>
    <t>R8,R11,R19,R20</t>
  </si>
  <si>
    <t>50mR</t>
  </si>
  <si>
    <t>LVK20R050FER</t>
  </si>
  <si>
    <t>273-LVK20R050FERDKR-ND</t>
  </si>
  <si>
    <t>R9,R10</t>
  </si>
  <si>
    <t xml:space="preserve">CRCW04020000Z0ED </t>
  </si>
  <si>
    <t xml:space="preserve">Vishay Dale </t>
  </si>
  <si>
    <t xml:space="preserve">541-0.0JDKR-ND </t>
  </si>
  <si>
    <t>R22</t>
  </si>
  <si>
    <t>14k7</t>
  </si>
  <si>
    <t>ERA-2APB1472X</t>
  </si>
  <si>
    <t>P17731CT-ND</t>
  </si>
  <si>
    <t>R27,R28,R29,R30,R31,R32</t>
  </si>
  <si>
    <t xml:space="preserve">36-5000-ND </t>
  </si>
  <si>
    <t xml:space="preserve">36-5001-ND </t>
  </si>
  <si>
    <t>TP4,TP5,TP6,TP7,TP8,TP9</t>
  </si>
  <si>
    <t xml:space="preserve">36-5015CT-ND </t>
  </si>
  <si>
    <t>U1,U8,U11,U14,U17,U20</t>
  </si>
  <si>
    <t>LTC2945IUD-1</t>
  </si>
  <si>
    <t>LTC2945IUD#TRPBF</t>
  </si>
  <si>
    <t>Analog Devices Inc.</t>
  </si>
  <si>
    <t>LTC2945IUD#TRPBFDKR-ND</t>
  </si>
  <si>
    <t>U2,U3,U9,U10,U12,U13,U15,U16,U18,U19,U21,U22</t>
  </si>
  <si>
    <t>ACPL-064L</t>
  </si>
  <si>
    <t>ACPL-064L-500E</t>
  </si>
  <si>
    <t>Broadcom Limited</t>
  </si>
  <si>
    <t>516-2614-6-ND</t>
  </si>
  <si>
    <t>TPS62912RPUR</t>
  </si>
  <si>
    <t>Texas Instruments</t>
  </si>
  <si>
    <t xml:space="preserve">595-TPS62912RPUR </t>
  </si>
  <si>
    <t>Mouser</t>
  </si>
  <si>
    <t>U5,U6</t>
  </si>
  <si>
    <t>TCA9803</t>
  </si>
  <si>
    <t>TCA9803DGKR</t>
  </si>
  <si>
    <t>296-47829-6-ND</t>
  </si>
  <si>
    <t>R23,R24</t>
  </si>
  <si>
    <t>ERA-2ARB472X</t>
  </si>
  <si>
    <t>P4.7KCPCT-ND</t>
  </si>
  <si>
    <t>BOM: Power Sensor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</si>
</sst>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14" fillId="0" borderId="0" xfId="0" applyFont="1"/>
    <xf numFmtId="1" fontId="14" fillId="0" borderId="0" xfId="0" applyNumberFormat="1" applyFont="1"/>
    <xf numFmtId="164" fontId="14" fillId="0" borderId="0" xfId="0" applyNumberFormat="1" applyFont="1"/>
    <xf numFmtId="0" fontId="16" fillId="0" borderId="0" xfId="0" applyFont="1"/>
    <xf numFmtId="164" fontId="16" fillId="0" borderId="0" xfId="0" applyNumberFormat="1" applyFon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&quot;$&quot;#,##0.00"/>
    </dxf>
    <dxf>
      <numFmt numFmtId="1" formatCode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6738B-D9EE-433C-8028-E349BF32A4E1}" name="Table1" displayName="Table1" ref="A2:K40" totalsRowShown="0">
  <autoFilter ref="A2:K40" xr:uid="{AA96738B-D9EE-433C-8028-E349BF32A4E1}"/>
  <tableColumns count="11">
    <tableColumn id="1" xr3:uid="{D11F913A-5E29-413E-8809-7BAED9698EA5}" name="Reference" dataDxfId="3"/>
    <tableColumn id="2" xr3:uid="{7B80E3C2-54A7-4057-AB65-983A961326F3}" name="Value"/>
    <tableColumn id="3" xr3:uid="{99E6BFF6-5330-489D-9172-1184C933083B}" name="DNP"/>
    <tableColumn id="4" xr3:uid="{8F1065C7-EE80-4089-9AA8-6FEF09259A27}" name="MPN"/>
    <tableColumn id="5" xr3:uid="{40D1ECEC-936C-4660-9422-226A98436E7C}" name="Manufacturer"/>
    <tableColumn id="6" xr3:uid="{3AF3D552-69BC-4C76-A0B2-C0918E5A30DA}" name="DPN"/>
    <tableColumn id="7" xr3:uid="{27053E06-90F0-4C80-A0E9-AF69558501E5}" name="Distributor"/>
    <tableColumn id="8" xr3:uid="{8C8898D7-0A5D-4274-AEBD-2D478D40B3AE}" name="Qty" dataDxfId="2"/>
    <tableColumn id="9" xr3:uid="{E833AA10-066E-4DE2-81D6-CD065C3274EC}" name="Qty+10%" dataDxfId="1"/>
    <tableColumn id="10" xr3:uid="{8F29A206-587C-4F8C-84C1-1A57992B4182}" name="Order Qty"/>
    <tableColumn id="11" xr3:uid="{E866E8CE-5324-44B9-BB29-8DC128FAA744}" name="Extended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F267-43FF-48ED-A2BE-5B3837F78C3F}">
  <sheetPr>
    <pageSetUpPr fitToPage="1"/>
  </sheetPr>
  <dimension ref="A1:K45"/>
  <sheetViews>
    <sheetView tabSelected="1" zoomScale="85" zoomScaleNormal="85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24.28515625" customWidth="1"/>
    <col min="2" max="2" width="20.85546875" bestFit="1" customWidth="1"/>
    <col min="4" max="4" width="21.42578125" bestFit="1" customWidth="1"/>
    <col min="5" max="5" width="24.85546875" bestFit="1" customWidth="1"/>
    <col min="6" max="6" width="35.85546875" bestFit="1" customWidth="1"/>
    <col min="7" max="7" width="12.140625" customWidth="1"/>
    <col min="8" max="8" width="6" style="3" customWidth="1"/>
    <col min="9" max="9" width="10.5703125" style="4" customWidth="1"/>
    <col min="10" max="10" width="11.140625" customWidth="1"/>
    <col min="11" max="11" width="15.28515625" customWidth="1"/>
  </cols>
  <sheetData>
    <row r="1" spans="1:11" x14ac:dyDescent="0.25">
      <c r="A1" t="s">
        <v>148</v>
      </c>
      <c r="C1" t="s">
        <v>52</v>
      </c>
      <c r="D1">
        <v>1</v>
      </c>
      <c r="E1" t="s">
        <v>53</v>
      </c>
      <c r="F1" t="s">
        <v>54</v>
      </c>
      <c r="G1" s="4" t="s">
        <v>58</v>
      </c>
      <c r="I1"/>
    </row>
    <row r="2" spans="1:11" x14ac:dyDescent="0.25">
      <c r="A2" t="s">
        <v>0</v>
      </c>
      <c r="B2" t="s">
        <v>1</v>
      </c>
      <c r="C2" t="s">
        <v>60</v>
      </c>
      <c r="D2" t="s">
        <v>2</v>
      </c>
      <c r="E2" t="s">
        <v>3</v>
      </c>
      <c r="F2" t="s">
        <v>4</v>
      </c>
      <c r="G2" t="s">
        <v>5</v>
      </c>
      <c r="H2" s="3" t="s">
        <v>57</v>
      </c>
      <c r="I2" s="4" t="s">
        <v>59</v>
      </c>
      <c r="J2" t="s">
        <v>55</v>
      </c>
      <c r="K2" s="5" t="s">
        <v>56</v>
      </c>
    </row>
    <row r="3" spans="1:11" x14ac:dyDescent="0.25">
      <c r="A3" t="s">
        <v>67</v>
      </c>
      <c r="B3" t="s">
        <v>68</v>
      </c>
      <c r="D3" t="s">
        <v>69</v>
      </c>
      <c r="E3" t="s">
        <v>70</v>
      </c>
      <c r="F3" t="s">
        <v>71</v>
      </c>
      <c r="G3" t="s">
        <v>6</v>
      </c>
      <c r="H3">
        <v>12</v>
      </c>
      <c r="I3" s="4">
        <f t="shared" ref="I3:I39" si="0">ROUNDUP((H3*$D$1*0.1)+(H3*$D$1),0)</f>
        <v>14</v>
      </c>
      <c r="J3">
        <v>100</v>
      </c>
      <c r="K3" s="5">
        <v>3.77</v>
      </c>
    </row>
    <row r="4" spans="1:11" x14ac:dyDescent="0.25">
      <c r="A4" t="s">
        <v>72</v>
      </c>
      <c r="B4" t="s">
        <v>26</v>
      </c>
      <c r="D4" t="s">
        <v>27</v>
      </c>
      <c r="E4" t="s">
        <v>10</v>
      </c>
      <c r="F4" t="s">
        <v>28</v>
      </c>
      <c r="G4" t="s">
        <v>6</v>
      </c>
      <c r="H4">
        <v>23</v>
      </c>
      <c r="I4" s="4">
        <f t="shared" si="0"/>
        <v>26</v>
      </c>
      <c r="J4">
        <v>100</v>
      </c>
      <c r="K4" s="5">
        <v>1.41</v>
      </c>
    </row>
    <row r="5" spans="1:11" x14ac:dyDescent="0.25">
      <c r="A5" t="s">
        <v>7</v>
      </c>
      <c r="B5" t="s">
        <v>8</v>
      </c>
      <c r="D5" t="s">
        <v>9</v>
      </c>
      <c r="E5" t="s">
        <v>10</v>
      </c>
      <c r="F5" t="s">
        <v>11</v>
      </c>
      <c r="G5" t="s">
        <v>6</v>
      </c>
      <c r="H5">
        <v>1</v>
      </c>
      <c r="I5" s="4">
        <f t="shared" si="0"/>
        <v>2</v>
      </c>
      <c r="J5">
        <v>100</v>
      </c>
      <c r="K5" s="5">
        <v>1.01</v>
      </c>
    </row>
    <row r="6" spans="1:11" x14ac:dyDescent="0.25">
      <c r="A6" t="s">
        <v>12</v>
      </c>
      <c r="B6" t="s">
        <v>13</v>
      </c>
      <c r="D6" t="s">
        <v>14</v>
      </c>
      <c r="E6" t="s">
        <v>15</v>
      </c>
      <c r="F6" t="s">
        <v>16</v>
      </c>
      <c r="G6" t="s">
        <v>6</v>
      </c>
      <c r="H6">
        <v>2</v>
      </c>
      <c r="I6" s="4">
        <f t="shared" si="0"/>
        <v>3</v>
      </c>
      <c r="J6">
        <v>10</v>
      </c>
      <c r="K6" s="5">
        <v>3.58</v>
      </c>
    </row>
    <row r="7" spans="1:11" x14ac:dyDescent="0.25">
      <c r="A7" t="s">
        <v>17</v>
      </c>
      <c r="B7" t="s">
        <v>18</v>
      </c>
      <c r="D7" t="s">
        <v>19</v>
      </c>
      <c r="E7" t="s">
        <v>15</v>
      </c>
      <c r="F7" t="s">
        <v>20</v>
      </c>
      <c r="G7" t="s">
        <v>6</v>
      </c>
      <c r="H7">
        <v>1</v>
      </c>
      <c r="I7" s="4">
        <f t="shared" si="0"/>
        <v>2</v>
      </c>
      <c r="J7">
        <v>100</v>
      </c>
      <c r="K7" s="5">
        <v>3.17</v>
      </c>
    </row>
    <row r="8" spans="1:11" x14ac:dyDescent="0.25">
      <c r="A8" t="s">
        <v>21</v>
      </c>
      <c r="B8" t="s">
        <v>22</v>
      </c>
      <c r="D8" t="s">
        <v>23</v>
      </c>
      <c r="E8" t="s">
        <v>24</v>
      </c>
      <c r="F8" t="s">
        <v>25</v>
      </c>
      <c r="G8" t="s">
        <v>6</v>
      </c>
      <c r="H8">
        <v>5</v>
      </c>
      <c r="I8" s="4">
        <f t="shared" si="0"/>
        <v>6</v>
      </c>
      <c r="J8">
        <v>15</v>
      </c>
      <c r="K8" s="5">
        <f>15*0.753</f>
        <v>11.295</v>
      </c>
    </row>
    <row r="9" spans="1:11" s="6" customFormat="1" x14ac:dyDescent="0.25">
      <c r="A9" s="6" t="s">
        <v>73</v>
      </c>
      <c r="B9" s="6" t="s">
        <v>74</v>
      </c>
      <c r="C9" s="6" t="s">
        <v>60</v>
      </c>
      <c r="H9" s="6">
        <v>1</v>
      </c>
      <c r="I9" s="7">
        <f t="shared" si="0"/>
        <v>2</v>
      </c>
      <c r="K9" s="8"/>
    </row>
    <row r="10" spans="1:11" x14ac:dyDescent="0.25">
      <c r="A10" t="s">
        <v>29</v>
      </c>
      <c r="B10" t="s">
        <v>30</v>
      </c>
      <c r="D10" t="s">
        <v>31</v>
      </c>
      <c r="E10" t="s">
        <v>10</v>
      </c>
      <c r="F10" t="s">
        <v>32</v>
      </c>
      <c r="G10" t="s">
        <v>6</v>
      </c>
      <c r="H10">
        <v>1</v>
      </c>
      <c r="I10" s="4">
        <f t="shared" si="0"/>
        <v>2</v>
      </c>
      <c r="J10">
        <v>10</v>
      </c>
      <c r="K10" s="5">
        <v>2.2999999999999998</v>
      </c>
    </row>
    <row r="11" spans="1:11" x14ac:dyDescent="0.25">
      <c r="A11" t="s">
        <v>75</v>
      </c>
      <c r="B11" t="s">
        <v>76</v>
      </c>
      <c r="H11">
        <v>4</v>
      </c>
      <c r="I11" s="4">
        <f t="shared" si="0"/>
        <v>5</v>
      </c>
      <c r="K11" s="5"/>
    </row>
    <row r="12" spans="1:11" x14ac:dyDescent="0.25">
      <c r="A12" t="s">
        <v>77</v>
      </c>
      <c r="B12" t="s">
        <v>78</v>
      </c>
      <c r="D12" s="1" t="s">
        <v>79</v>
      </c>
      <c r="E12" t="s">
        <v>34</v>
      </c>
      <c r="F12" t="s">
        <v>80</v>
      </c>
      <c r="G12" t="s">
        <v>6</v>
      </c>
      <c r="H12">
        <v>1</v>
      </c>
      <c r="I12" s="4">
        <f t="shared" si="0"/>
        <v>2</v>
      </c>
      <c r="J12">
        <v>1</v>
      </c>
      <c r="K12" s="5">
        <v>2.7</v>
      </c>
    </row>
    <row r="13" spans="1:11" x14ac:dyDescent="0.25">
      <c r="A13" t="s">
        <v>81</v>
      </c>
      <c r="B13" t="s">
        <v>82</v>
      </c>
      <c r="D13" s="1" t="s">
        <v>79</v>
      </c>
      <c r="E13" t="s">
        <v>34</v>
      </c>
      <c r="F13" t="s">
        <v>80</v>
      </c>
      <c r="G13" t="s">
        <v>6</v>
      </c>
      <c r="H13">
        <v>1</v>
      </c>
      <c r="I13" s="4">
        <f t="shared" si="0"/>
        <v>2</v>
      </c>
      <c r="J13">
        <v>1</v>
      </c>
      <c r="K13" s="5">
        <v>2.7</v>
      </c>
    </row>
    <row r="14" spans="1:11" x14ac:dyDescent="0.25">
      <c r="A14" t="s">
        <v>83</v>
      </c>
      <c r="B14" s="1" t="s">
        <v>33</v>
      </c>
      <c r="D14" s="1" t="s">
        <v>33</v>
      </c>
      <c r="E14" t="s">
        <v>34</v>
      </c>
      <c r="F14" t="s">
        <v>35</v>
      </c>
      <c r="G14" t="s">
        <v>6</v>
      </c>
      <c r="H14">
        <v>1</v>
      </c>
      <c r="I14" s="4">
        <f t="shared" si="0"/>
        <v>2</v>
      </c>
      <c r="J14">
        <v>1</v>
      </c>
      <c r="K14" s="5">
        <v>4.58</v>
      </c>
    </row>
    <row r="15" spans="1:11" x14ac:dyDescent="0.25">
      <c r="A15" t="s">
        <v>84</v>
      </c>
      <c r="B15" t="s">
        <v>85</v>
      </c>
      <c r="D15" s="1" t="s">
        <v>79</v>
      </c>
      <c r="E15" t="s">
        <v>34</v>
      </c>
      <c r="F15" t="s">
        <v>80</v>
      </c>
      <c r="G15" t="s">
        <v>6</v>
      </c>
      <c r="H15">
        <v>1</v>
      </c>
      <c r="I15" s="4">
        <f t="shared" si="0"/>
        <v>2</v>
      </c>
      <c r="J15">
        <v>1</v>
      </c>
      <c r="K15" s="5">
        <v>2.7</v>
      </c>
    </row>
    <row r="16" spans="1:11" x14ac:dyDescent="0.25">
      <c r="A16" t="s">
        <v>86</v>
      </c>
      <c r="B16" t="s">
        <v>87</v>
      </c>
      <c r="D16" s="1" t="s">
        <v>79</v>
      </c>
      <c r="E16" t="s">
        <v>34</v>
      </c>
      <c r="F16" t="s">
        <v>80</v>
      </c>
      <c r="G16" t="s">
        <v>6</v>
      </c>
      <c r="H16">
        <v>1</v>
      </c>
      <c r="I16" s="4">
        <f t="shared" si="0"/>
        <v>2</v>
      </c>
      <c r="J16">
        <v>1</v>
      </c>
      <c r="K16" s="5">
        <v>2.7</v>
      </c>
    </row>
    <row r="17" spans="1:11" x14ac:dyDescent="0.25">
      <c r="A17" t="s">
        <v>88</v>
      </c>
      <c r="B17">
        <v>39289108</v>
      </c>
      <c r="D17" s="1" t="s">
        <v>89</v>
      </c>
      <c r="E17" t="s">
        <v>34</v>
      </c>
      <c r="F17" t="s">
        <v>90</v>
      </c>
      <c r="G17" t="s">
        <v>6</v>
      </c>
      <c r="H17">
        <v>2</v>
      </c>
      <c r="I17" s="4">
        <f t="shared" si="0"/>
        <v>3</v>
      </c>
      <c r="J17">
        <v>1</v>
      </c>
      <c r="K17" s="5">
        <v>5.0199999999999996</v>
      </c>
    </row>
    <row r="18" spans="1:11" x14ac:dyDescent="0.25">
      <c r="A18" t="s">
        <v>91</v>
      </c>
      <c r="B18" t="s">
        <v>92</v>
      </c>
      <c r="D18" s="1" t="s">
        <v>79</v>
      </c>
      <c r="E18" t="s">
        <v>34</v>
      </c>
      <c r="F18" t="s">
        <v>80</v>
      </c>
      <c r="G18" t="s">
        <v>6</v>
      </c>
      <c r="H18">
        <v>1</v>
      </c>
      <c r="I18" s="4">
        <f t="shared" si="0"/>
        <v>2</v>
      </c>
      <c r="J18">
        <v>1</v>
      </c>
      <c r="K18" s="5">
        <v>2.7</v>
      </c>
    </row>
    <row r="19" spans="1:11" x14ac:dyDescent="0.25">
      <c r="A19" t="s">
        <v>36</v>
      </c>
      <c r="B19" t="s">
        <v>37</v>
      </c>
      <c r="D19">
        <v>74438356022</v>
      </c>
      <c r="E19" t="s">
        <v>38</v>
      </c>
      <c r="F19" t="s">
        <v>39</v>
      </c>
      <c r="G19" t="s">
        <v>6</v>
      </c>
      <c r="H19">
        <v>1</v>
      </c>
      <c r="I19" s="4">
        <f t="shared" si="0"/>
        <v>2</v>
      </c>
      <c r="J19">
        <v>3</v>
      </c>
      <c r="K19" s="5">
        <f>1.94*3</f>
        <v>5.82</v>
      </c>
    </row>
    <row r="20" spans="1:11" x14ac:dyDescent="0.25">
      <c r="A20" t="s">
        <v>93</v>
      </c>
      <c r="B20" t="s">
        <v>94</v>
      </c>
      <c r="D20" t="s">
        <v>95</v>
      </c>
      <c r="E20" t="s">
        <v>96</v>
      </c>
      <c r="F20" t="s">
        <v>97</v>
      </c>
      <c r="G20" t="s">
        <v>6</v>
      </c>
      <c r="H20">
        <v>6</v>
      </c>
      <c r="I20" s="4">
        <f t="shared" si="0"/>
        <v>7</v>
      </c>
      <c r="J20">
        <v>25</v>
      </c>
      <c r="K20" s="5">
        <f>0.177*25</f>
        <v>4.4249999999999998</v>
      </c>
    </row>
    <row r="21" spans="1:11" s="6" customFormat="1" x14ac:dyDescent="0.25">
      <c r="A21" s="6" t="s">
        <v>98</v>
      </c>
      <c r="B21" s="6" t="s">
        <v>41</v>
      </c>
      <c r="C21" s="6" t="s">
        <v>60</v>
      </c>
      <c r="D21" s="6">
        <v>5108</v>
      </c>
      <c r="E21" s="6" t="s">
        <v>99</v>
      </c>
      <c r="F21" s="6" t="s">
        <v>100</v>
      </c>
      <c r="G21" s="6" t="s">
        <v>6</v>
      </c>
      <c r="H21" s="6">
        <v>8</v>
      </c>
      <c r="I21" s="7">
        <f t="shared" si="0"/>
        <v>9</v>
      </c>
      <c r="K21" s="8"/>
    </row>
    <row r="22" spans="1:11" x14ac:dyDescent="0.25">
      <c r="A22" t="s">
        <v>101</v>
      </c>
      <c r="B22" t="s">
        <v>102</v>
      </c>
      <c r="D22" t="s">
        <v>103</v>
      </c>
      <c r="E22" t="s">
        <v>42</v>
      </c>
      <c r="F22" t="s">
        <v>104</v>
      </c>
      <c r="G22" t="s">
        <v>6</v>
      </c>
      <c r="H22">
        <v>18</v>
      </c>
      <c r="I22" s="4">
        <f t="shared" si="0"/>
        <v>20</v>
      </c>
      <c r="J22">
        <v>100</v>
      </c>
      <c r="K22" s="5">
        <v>1.64</v>
      </c>
    </row>
    <row r="23" spans="1:11" x14ac:dyDescent="0.25">
      <c r="A23" t="s">
        <v>105</v>
      </c>
      <c r="B23" t="s">
        <v>106</v>
      </c>
      <c r="D23" t="s">
        <v>107</v>
      </c>
      <c r="E23" t="s">
        <v>108</v>
      </c>
      <c r="F23" t="s">
        <v>109</v>
      </c>
      <c r="G23" t="s">
        <v>108</v>
      </c>
      <c r="H23">
        <v>2</v>
      </c>
      <c r="I23" s="4">
        <f t="shared" si="0"/>
        <v>3</v>
      </c>
      <c r="J23">
        <v>5</v>
      </c>
      <c r="K23" s="5">
        <f>5*1.89</f>
        <v>9.4499999999999993</v>
      </c>
    </row>
    <row r="24" spans="1:11" x14ac:dyDescent="0.25">
      <c r="A24" t="s">
        <v>110</v>
      </c>
      <c r="B24" t="s">
        <v>111</v>
      </c>
      <c r="D24" t="s">
        <v>112</v>
      </c>
      <c r="E24" t="s">
        <v>108</v>
      </c>
      <c r="F24" t="s">
        <v>113</v>
      </c>
      <c r="G24" t="s">
        <v>108</v>
      </c>
      <c r="H24">
        <v>4</v>
      </c>
      <c r="I24" s="4">
        <f t="shared" si="0"/>
        <v>5</v>
      </c>
      <c r="J24">
        <v>5</v>
      </c>
      <c r="K24" s="5">
        <f>1.89*5</f>
        <v>9.4499999999999993</v>
      </c>
    </row>
    <row r="25" spans="1:11" x14ac:dyDescent="0.25">
      <c r="A25" t="s">
        <v>114</v>
      </c>
      <c r="B25" t="s">
        <v>41</v>
      </c>
      <c r="D25">
        <v>5108</v>
      </c>
      <c r="E25" t="s">
        <v>99</v>
      </c>
      <c r="F25" t="s">
        <v>100</v>
      </c>
      <c r="G25" t="s">
        <v>6</v>
      </c>
      <c r="H25">
        <v>2</v>
      </c>
      <c r="I25" s="4">
        <f t="shared" si="0"/>
        <v>3</v>
      </c>
      <c r="J25">
        <v>10</v>
      </c>
      <c r="K25" s="5">
        <v>2.0099999999999998</v>
      </c>
    </row>
    <row r="26" spans="1:11" x14ac:dyDescent="0.25">
      <c r="A26" t="s">
        <v>40</v>
      </c>
      <c r="B26" t="s">
        <v>41</v>
      </c>
      <c r="D26" t="s">
        <v>115</v>
      </c>
      <c r="E26" t="s">
        <v>116</v>
      </c>
      <c r="F26" t="s">
        <v>117</v>
      </c>
      <c r="G26" t="s">
        <v>6</v>
      </c>
      <c r="H26">
        <v>1</v>
      </c>
      <c r="I26" s="4">
        <f t="shared" si="0"/>
        <v>2</v>
      </c>
      <c r="J26">
        <v>100</v>
      </c>
      <c r="K26" s="5">
        <v>0.99</v>
      </c>
    </row>
    <row r="27" spans="1:11" s="6" customFormat="1" x14ac:dyDescent="0.25">
      <c r="A27" s="6" t="s">
        <v>118</v>
      </c>
      <c r="B27" s="6" t="s">
        <v>74</v>
      </c>
      <c r="C27" s="6" t="s">
        <v>60</v>
      </c>
      <c r="H27" s="6">
        <v>1</v>
      </c>
      <c r="I27" s="7">
        <f t="shared" si="0"/>
        <v>2</v>
      </c>
      <c r="K27" s="8"/>
    </row>
    <row r="28" spans="1:11" x14ac:dyDescent="0.25">
      <c r="A28" t="s">
        <v>145</v>
      </c>
      <c r="B28" t="s">
        <v>43</v>
      </c>
      <c r="D28" t="s">
        <v>61</v>
      </c>
      <c r="E28" t="s">
        <v>42</v>
      </c>
      <c r="F28" t="s">
        <v>62</v>
      </c>
      <c r="G28" t="s">
        <v>6</v>
      </c>
      <c r="H28">
        <v>2</v>
      </c>
      <c r="I28" s="4">
        <f t="shared" si="0"/>
        <v>3</v>
      </c>
      <c r="J28">
        <v>100</v>
      </c>
      <c r="K28" s="5">
        <v>1.57</v>
      </c>
    </row>
    <row r="29" spans="1:11" x14ac:dyDescent="0.25">
      <c r="A29" t="s">
        <v>44</v>
      </c>
      <c r="B29" t="s">
        <v>119</v>
      </c>
      <c r="D29" t="s">
        <v>120</v>
      </c>
      <c r="E29" t="s">
        <v>42</v>
      </c>
      <c r="F29" t="s">
        <v>121</v>
      </c>
      <c r="G29" t="s">
        <v>6</v>
      </c>
      <c r="H29">
        <v>1</v>
      </c>
      <c r="I29" s="4">
        <f t="shared" si="0"/>
        <v>2</v>
      </c>
      <c r="J29">
        <v>10</v>
      </c>
      <c r="K29" s="5">
        <v>4.5199999999999996</v>
      </c>
    </row>
    <row r="30" spans="1:11" x14ac:dyDescent="0.25">
      <c r="A30" s="2" t="s">
        <v>45</v>
      </c>
      <c r="B30" t="s">
        <v>43</v>
      </c>
      <c r="D30" t="s">
        <v>146</v>
      </c>
      <c r="E30" t="s">
        <v>42</v>
      </c>
      <c r="F30" t="s">
        <v>147</v>
      </c>
      <c r="G30" t="s">
        <v>6</v>
      </c>
      <c r="H30" s="11">
        <v>1</v>
      </c>
      <c r="I30" s="4">
        <f t="shared" si="0"/>
        <v>2</v>
      </c>
      <c r="J30">
        <v>10</v>
      </c>
      <c r="K30" s="5">
        <v>4.99</v>
      </c>
    </row>
    <row r="31" spans="1:11" s="6" customFormat="1" x14ac:dyDescent="0.25">
      <c r="A31" s="6" t="s">
        <v>122</v>
      </c>
      <c r="B31" s="6" t="s">
        <v>43</v>
      </c>
      <c r="C31" s="6" t="s">
        <v>60</v>
      </c>
      <c r="D31" s="6" t="s">
        <v>61</v>
      </c>
      <c r="E31" s="6" t="s">
        <v>116</v>
      </c>
      <c r="F31" s="6" t="s">
        <v>62</v>
      </c>
      <c r="G31" s="6" t="s">
        <v>6</v>
      </c>
      <c r="H31" s="6">
        <v>6</v>
      </c>
      <c r="I31" s="7">
        <f t="shared" si="0"/>
        <v>7</v>
      </c>
      <c r="K31" s="8"/>
    </row>
    <row r="32" spans="1:11" x14ac:dyDescent="0.25">
      <c r="A32" t="s">
        <v>63</v>
      </c>
      <c r="B32">
        <v>5000</v>
      </c>
      <c r="D32">
        <v>5000</v>
      </c>
      <c r="E32" t="s">
        <v>64</v>
      </c>
      <c r="F32" t="s">
        <v>123</v>
      </c>
      <c r="G32" t="s">
        <v>6</v>
      </c>
      <c r="H32">
        <v>2</v>
      </c>
      <c r="I32" s="4">
        <f t="shared" si="0"/>
        <v>3</v>
      </c>
      <c r="J32">
        <v>10</v>
      </c>
      <c r="K32" s="5">
        <v>2.04</v>
      </c>
    </row>
    <row r="33" spans="1:11" x14ac:dyDescent="0.25">
      <c r="A33" t="s">
        <v>65</v>
      </c>
      <c r="B33">
        <v>5001</v>
      </c>
      <c r="D33">
        <v>5001</v>
      </c>
      <c r="E33" t="s">
        <v>64</v>
      </c>
      <c r="F33" t="s">
        <v>124</v>
      </c>
      <c r="G33" t="s">
        <v>6</v>
      </c>
      <c r="H33">
        <v>1</v>
      </c>
      <c r="I33" s="4">
        <f t="shared" si="0"/>
        <v>2</v>
      </c>
      <c r="J33">
        <v>10</v>
      </c>
      <c r="K33" s="5">
        <v>2.0299999999999998</v>
      </c>
    </row>
    <row r="34" spans="1:11" x14ac:dyDescent="0.25">
      <c r="A34" t="s">
        <v>125</v>
      </c>
      <c r="B34">
        <v>5015</v>
      </c>
      <c r="D34">
        <v>5015</v>
      </c>
      <c r="E34" t="s">
        <v>64</v>
      </c>
      <c r="F34" t="s">
        <v>126</v>
      </c>
      <c r="G34" t="s">
        <v>6</v>
      </c>
      <c r="H34">
        <v>6</v>
      </c>
      <c r="I34" s="4">
        <f t="shared" si="0"/>
        <v>7</v>
      </c>
      <c r="J34">
        <v>25</v>
      </c>
      <c r="K34" s="5">
        <v>8.2899999999999991</v>
      </c>
    </row>
    <row r="35" spans="1:11" x14ac:dyDescent="0.25">
      <c r="A35" t="s">
        <v>127</v>
      </c>
      <c r="B35" t="s">
        <v>128</v>
      </c>
      <c r="D35" t="s">
        <v>129</v>
      </c>
      <c r="E35" t="s">
        <v>130</v>
      </c>
      <c r="F35" t="s">
        <v>131</v>
      </c>
      <c r="G35" t="s">
        <v>6</v>
      </c>
      <c r="H35">
        <v>6</v>
      </c>
      <c r="I35" s="4">
        <f t="shared" si="0"/>
        <v>7</v>
      </c>
      <c r="J35">
        <v>10</v>
      </c>
      <c r="K35" s="5">
        <v>110.97</v>
      </c>
    </row>
    <row r="36" spans="1:11" x14ac:dyDescent="0.25">
      <c r="A36" t="s">
        <v>132</v>
      </c>
      <c r="B36" t="s">
        <v>133</v>
      </c>
      <c r="D36" t="s">
        <v>134</v>
      </c>
      <c r="E36" t="s">
        <v>135</v>
      </c>
      <c r="F36" t="s">
        <v>136</v>
      </c>
      <c r="G36" t="s">
        <v>6</v>
      </c>
      <c r="H36">
        <v>12</v>
      </c>
      <c r="I36" s="4">
        <f t="shared" si="0"/>
        <v>14</v>
      </c>
      <c r="J36">
        <v>15</v>
      </c>
      <c r="K36" s="5">
        <f>15*3.751</f>
        <v>56.265000000000001</v>
      </c>
    </row>
    <row r="37" spans="1:11" x14ac:dyDescent="0.25">
      <c r="A37" t="s">
        <v>46</v>
      </c>
      <c r="B37" t="s">
        <v>47</v>
      </c>
      <c r="D37" t="s">
        <v>137</v>
      </c>
      <c r="E37" t="s">
        <v>138</v>
      </c>
      <c r="F37" t="s">
        <v>139</v>
      </c>
      <c r="G37" t="s">
        <v>140</v>
      </c>
      <c r="H37">
        <v>1</v>
      </c>
      <c r="I37" s="4">
        <f t="shared" si="0"/>
        <v>2</v>
      </c>
      <c r="J37">
        <v>3</v>
      </c>
      <c r="K37" s="5">
        <f>3*2.59</f>
        <v>7.77</v>
      </c>
    </row>
    <row r="38" spans="1:11" x14ac:dyDescent="0.25">
      <c r="A38" t="s">
        <v>141</v>
      </c>
      <c r="B38" t="s">
        <v>142</v>
      </c>
      <c r="D38" t="s">
        <v>143</v>
      </c>
      <c r="E38" t="s">
        <v>138</v>
      </c>
      <c r="F38" t="s">
        <v>144</v>
      </c>
      <c r="G38" t="s">
        <v>6</v>
      </c>
      <c r="H38">
        <v>2</v>
      </c>
      <c r="I38" s="4">
        <f t="shared" si="0"/>
        <v>3</v>
      </c>
      <c r="J38">
        <v>10</v>
      </c>
      <c r="K38" s="5">
        <v>6.84</v>
      </c>
    </row>
    <row r="39" spans="1:11" x14ac:dyDescent="0.25">
      <c r="A39" t="s">
        <v>48</v>
      </c>
      <c r="B39" t="s">
        <v>49</v>
      </c>
      <c r="D39" t="s">
        <v>50</v>
      </c>
      <c r="E39" t="s">
        <v>138</v>
      </c>
      <c r="F39" t="s">
        <v>51</v>
      </c>
      <c r="G39" t="s">
        <v>6</v>
      </c>
      <c r="H39">
        <v>1</v>
      </c>
      <c r="I39" s="4">
        <f t="shared" si="0"/>
        <v>2</v>
      </c>
      <c r="J39">
        <v>5</v>
      </c>
      <c r="K39" s="5">
        <f>2.71*5</f>
        <v>13.55</v>
      </c>
    </row>
    <row r="40" spans="1:11" x14ac:dyDescent="0.25">
      <c r="J40" s="9" t="s">
        <v>66</v>
      </c>
      <c r="K40" s="10">
        <f>SUM(K3:K39)</f>
        <v>302.25499999999994</v>
      </c>
    </row>
    <row r="41" spans="1:11" x14ac:dyDescent="0.25">
      <c r="H41"/>
    </row>
    <row r="42" spans="1:11" x14ac:dyDescent="0.25">
      <c r="H42"/>
    </row>
    <row r="43" spans="1:11" x14ac:dyDescent="0.25">
      <c r="H43"/>
    </row>
    <row r="44" spans="1:11" x14ac:dyDescent="0.25">
      <c r="H44"/>
    </row>
    <row r="45" spans="1:11" x14ac:dyDescent="0.25">
      <c r="H45"/>
    </row>
  </sheetData>
  <pageMargins left="0.7" right="0.7" top="0.75" bottom="0.75" header="0.3" footer="0.3"/>
  <pageSetup paperSize="3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9561e60-dc75-4c28-a1c9-2e8d8870196b}" enabled="0" method="" siteId="{89561e60-dc75-4c28-a1c9-2e8d887019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Isolated Multi-Rail Power Suppl</vt:lpstr>
      <vt:lpstr>'Isolated Multi-Rail Power Suppl'!Print_Area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Capotosto, Michael</cp:lastModifiedBy>
  <cp:lastPrinted>2026-08-22T22:15:52Z</cp:lastPrinted>
  <dcterms:created xsi:type="dcterms:W3CDTF">2026-08-22T20:32:27Z</dcterms:created>
  <dcterms:modified xsi:type="dcterms:W3CDTF">2026-08-22T22:16:01Z</dcterms:modified>
</cp:coreProperties>
</file>